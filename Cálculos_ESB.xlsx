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Distancias" sheetId="1" r:id="rId4"/>
    <sheet state="visible" name="2.Red" sheetId="2" r:id="rId5"/>
    <sheet state="visible" name="3.CalculoRedRTV-SAT" sheetId="3" r:id="rId6"/>
    <sheet state="visible" name="4.Cabecera" sheetId="4" r:id="rId7"/>
    <sheet state="visible" name="5.CalculoCab" sheetId="5" r:id="rId8"/>
    <sheet state="visible" name="8.CalculoRedFO" sheetId="6" r:id="rId9"/>
    <sheet state="visible" name="Fabricante" sheetId="7" r:id="rId10"/>
  </sheets>
  <definedNames/>
  <calcPr/>
  <extLst>
    <ext uri="GoogleSheetsCustomDataVersion2">
      <go:sheetsCustomData xmlns:go="http://customooxmlschemas.google.com/" r:id="rId11" roundtripDataChecksum="fMgIcsEX+ltivfzf3HJdoAFghgUFbTTDEoLWrtmV4IA="/>
    </ext>
  </extLst>
</workbook>
</file>

<file path=xl/sharedStrings.xml><?xml version="1.0" encoding="utf-8"?>
<sst xmlns="http://schemas.openxmlformats.org/spreadsheetml/2006/main" count="749" uniqueCount="398">
  <si>
    <t>Distancias calculadas sobre plano para las tomas.
Sobre ellas se calculan todos los valores posteriores de atenuación.</t>
  </si>
  <si>
    <t>Distancias (m)</t>
  </si>
  <si>
    <t>RS -&gt; RS</t>
  </si>
  <si>
    <t>Tomas</t>
  </si>
  <si>
    <t>PAU -&gt; TOMA</t>
  </si>
  <si>
    <t>Reg.Secundario -&gt; PAU</t>
  </si>
  <si>
    <t>(vertical) m.</t>
  </si>
  <si>
    <t>Ático-Dorm.3</t>
  </si>
  <si>
    <t>Ático-Dorm.2</t>
  </si>
  <si>
    <t>Ático-Dorm.Ppal.</t>
  </si>
  <si>
    <t>Ático-Cocina</t>
  </si>
  <si>
    <t>Ático-Salón*</t>
  </si>
  <si>
    <t>8B-Dorm.3</t>
  </si>
  <si>
    <t>8B-Dorm.2</t>
  </si>
  <si>
    <t>8B-Dorm.Ppal.</t>
  </si>
  <si>
    <t>8B-Cocina</t>
  </si>
  <si>
    <t>8B-Salón</t>
  </si>
  <si>
    <t>8A-Dorm.3</t>
  </si>
  <si>
    <t>8A-Dorm.2</t>
  </si>
  <si>
    <t>8A-Dorm.Ppal.</t>
  </si>
  <si>
    <t>8A-Cocina</t>
  </si>
  <si>
    <t>8A-Salón</t>
  </si>
  <si>
    <t>7B-Dorm.3</t>
  </si>
  <si>
    <t>7B-Dorm.2</t>
  </si>
  <si>
    <t>7B-Dorm.Ppal.</t>
  </si>
  <si>
    <t>7B-Cocina</t>
  </si>
  <si>
    <t>7B-Salón</t>
  </si>
  <si>
    <t>7A-Dorm.3</t>
  </si>
  <si>
    <t>7A-Dorm.2</t>
  </si>
  <si>
    <t>7A-Dorm.Ppal.</t>
  </si>
  <si>
    <t>7A-Cocina</t>
  </si>
  <si>
    <t>7A-Salón</t>
  </si>
  <si>
    <t>6B-Dorm.3</t>
  </si>
  <si>
    <t>6B-Dorm.2</t>
  </si>
  <si>
    <t>6B-Dorm.Ppal.</t>
  </si>
  <si>
    <t>6B-Cocina</t>
  </si>
  <si>
    <t>6B-Salón</t>
  </si>
  <si>
    <t>6A-Dorm.3</t>
  </si>
  <si>
    <t>6A-Dorm.2</t>
  </si>
  <si>
    <t>6A-Dorm.Ppal.</t>
  </si>
  <si>
    <t>6A-Cocina</t>
  </si>
  <si>
    <t>6A-Salón</t>
  </si>
  <si>
    <t>5B-Dorm.3</t>
  </si>
  <si>
    <t>5B-Dorm.2</t>
  </si>
  <si>
    <t>5B-Dorm.Ppal.</t>
  </si>
  <si>
    <t>5B-Cocina</t>
  </si>
  <si>
    <t>5B-Salón</t>
  </si>
  <si>
    <t>5A-Dorm.3</t>
  </si>
  <si>
    <t>5A-Dorm.2</t>
  </si>
  <si>
    <t>5A-Dorm.Ppal.</t>
  </si>
  <si>
    <t>5A-Cocina</t>
  </si>
  <si>
    <t>5A-Salón</t>
  </si>
  <si>
    <t>4B-Dorm.3</t>
  </si>
  <si>
    <t>4B-Dorm.2</t>
  </si>
  <si>
    <t>4B-Dorm.Ppal.</t>
  </si>
  <si>
    <t>4B-Cocina</t>
  </si>
  <si>
    <t>4B-Salón</t>
  </si>
  <si>
    <t>4A-Dorm.3</t>
  </si>
  <si>
    <t>4A-Dorm.2</t>
  </si>
  <si>
    <t>4A-Dorm.Ppal.</t>
  </si>
  <si>
    <t>4A-Cocina</t>
  </si>
  <si>
    <t>4A-Salón</t>
  </si>
  <si>
    <t>3B-Dorm.3</t>
  </si>
  <si>
    <t>3B-Dorm.2</t>
  </si>
  <si>
    <t>3B-Dorm.Ppal.</t>
  </si>
  <si>
    <t>3B-Cocina</t>
  </si>
  <si>
    <t>3B-Salón</t>
  </si>
  <si>
    <t>3A-Dorm.3</t>
  </si>
  <si>
    <t>3A-Dorm.2</t>
  </si>
  <si>
    <t>3A-Dorm.Ppal.</t>
  </si>
  <si>
    <t>3A-Cocina</t>
  </si>
  <si>
    <t>3A-Salón</t>
  </si>
  <si>
    <t>2B-Dorm.3</t>
  </si>
  <si>
    <t>2B-Dorm.2</t>
  </si>
  <si>
    <t>2B-Dorm.Ppal.</t>
  </si>
  <si>
    <t>2B-Cocina</t>
  </si>
  <si>
    <t>2B-Salón</t>
  </si>
  <si>
    <t>2A-Dorm.3</t>
  </si>
  <si>
    <t>2A-Dorm.2</t>
  </si>
  <si>
    <t>2A-Dorm.Ppal.</t>
  </si>
  <si>
    <t>2A-Cocina</t>
  </si>
  <si>
    <t>2A-Salón</t>
  </si>
  <si>
    <t>1B-Dorm.3</t>
  </si>
  <si>
    <t>1B-Dorm.2</t>
  </si>
  <si>
    <t>1B-Dorm.Ppal.</t>
  </si>
  <si>
    <t>1B-Cocina</t>
  </si>
  <si>
    <t>1B-Salón</t>
  </si>
  <si>
    <t>1A-Dorm.3</t>
  </si>
  <si>
    <t>1A-Dorm.2</t>
  </si>
  <si>
    <t>1A-Dorm.Ppal.</t>
  </si>
  <si>
    <t>1A-Cocina</t>
  </si>
  <si>
    <t>1A-Salón</t>
  </si>
  <si>
    <t xml:space="preserve">Se eligen aquí los elementos para el diseño de la red de distribución / dispersión / interior de usuario. </t>
  </si>
  <si>
    <t>CABLE</t>
  </si>
  <si>
    <t>REPARTIDOR</t>
  </si>
  <si>
    <t>PAU REPARTIDOR</t>
  </si>
  <si>
    <t>Frecuencia (MHz)</t>
  </si>
  <si>
    <t>Atenuación  dB/m</t>
  </si>
  <si>
    <t>Tipo</t>
  </si>
  <si>
    <t>Nº salidas</t>
  </si>
  <si>
    <t>At.Inserción
V/U</t>
  </si>
  <si>
    <t>At.Inserción
FI</t>
  </si>
  <si>
    <t>Solo se usa en banda terrena (cabecera)</t>
  </si>
  <si>
    <t>MEZCLADOR</t>
  </si>
  <si>
    <t>TOMA</t>
  </si>
  <si>
    <t>At. Inserción V/U</t>
  </si>
  <si>
    <t>At. Inserción FI</t>
  </si>
  <si>
    <t>At. FM
 (87,5..108 MHZ)</t>
  </si>
  <si>
    <t>At. VHF
 (125..470) MHz</t>
  </si>
  <si>
    <t>At. UHF
 (470..862) MHz</t>
  </si>
  <si>
    <t>At. FI
 (950..2150) MHz</t>
  </si>
  <si>
    <t>DERIVADORES</t>
  </si>
  <si>
    <t>Localización</t>
  </si>
  <si>
    <t>At. Derivación
V/U</t>
  </si>
  <si>
    <t>At. Inserción
V/U</t>
  </si>
  <si>
    <t>At. Derivación
FI</t>
  </si>
  <si>
    <t>At. Inserción
FI</t>
  </si>
  <si>
    <t>Ático</t>
  </si>
  <si>
    <t>D</t>
  </si>
  <si>
    <t>Planta 8</t>
  </si>
  <si>
    <t>Planta 7</t>
  </si>
  <si>
    <t>Planta 6</t>
  </si>
  <si>
    <t>C</t>
  </si>
  <si>
    <t>Planta 5</t>
  </si>
  <si>
    <t>Planta 4</t>
  </si>
  <si>
    <t>Planta 3</t>
  </si>
  <si>
    <t>B</t>
  </si>
  <si>
    <t>Planta 2</t>
  </si>
  <si>
    <t>Planta 1</t>
  </si>
  <si>
    <t>A</t>
  </si>
  <si>
    <t>Se exponen aquí los resultados de la instalación RTV-SAT.</t>
  </si>
  <si>
    <t xml:space="preserve"> </t>
  </si>
  <si>
    <t>Nivel señal salida amplificadores 47-694 MHz (dBuV)</t>
  </si>
  <si>
    <t>FM</t>
  </si>
  <si>
    <t>DAB</t>
  </si>
  <si>
    <t>TDT</t>
  </si>
  <si>
    <t>FI</t>
  </si>
  <si>
    <t>Nivel señal salida amplificadores 950-2150 MHz (dBuV)</t>
  </si>
  <si>
    <t>Toma mejor</t>
  </si>
  <si>
    <t>Ático Salón</t>
  </si>
  <si>
    <t>Toma peor</t>
  </si>
  <si>
    <t>4B Dormitorio2</t>
  </si>
  <si>
    <t>2B Dormitorio2</t>
  </si>
  <si>
    <r>
      <rPr>
        <rFont val="Arial"/>
        <b/>
        <color theme="1"/>
        <sz val="12.0"/>
      </rPr>
      <t xml:space="preserve">Atenuación (dB)
[Salida Cabecera (amplif. monocanal)] --&gt; [Salida Toma]
</t>
    </r>
    <r>
      <rPr>
        <rFont val="Arial"/>
        <b val="0"/>
        <color theme="1"/>
        <sz val="12.0"/>
      </rPr>
      <t xml:space="preserve">At(dB)ÁticoDorm3 =At(dB)Ático+At(dB)ÁticoA+DistanciaPAUToma* At.cable[f] (dB/m)+At.Toma
…
At(dB)1ºPlantaASalón =At(dB)1ºPlanta+At(dB)1ºPlantaA+DistanciaPAUToma* At.cable[f] (dB/m)+At.Toma
</t>
    </r>
    <r>
      <rPr>
        <rFont val="Arial"/>
        <b/>
        <color theme="1"/>
        <sz val="12.0"/>
      </rPr>
      <t xml:space="preserve">                                  </t>
    </r>
  </si>
  <si>
    <r>
      <rPr>
        <rFont val="Arial"/>
        <b/>
        <color theme="1"/>
        <sz val="12.0"/>
      </rPr>
      <t xml:space="preserve">Nivel de señal en Toma (dBuV)
</t>
    </r>
    <r>
      <rPr>
        <rFont val="Arial"/>
        <b val="0"/>
        <color theme="1"/>
        <sz val="12.0"/>
      </rPr>
      <t>S(dB)ÁticoDorm3 = Ssamp - At(dB)ÁticoDorm3</t>
    </r>
  </si>
  <si>
    <t>Atenuación(dB)</t>
  </si>
  <si>
    <t>Toma</t>
  </si>
  <si>
    <t>( f = 100 MHz )</t>
  </si>
  <si>
    <t>( f = 200 MHz )</t>
  </si>
  <si>
    <t>( f = 470 MHz )</t>
  </si>
  <si>
    <t>( f = 862 MHz )</t>
  </si>
  <si>
    <t>( f = 950 MHz )</t>
  </si>
  <si>
    <t>( f = 2150 MHz )</t>
  </si>
  <si>
    <t>Nivel de señal salida amplificadores necesaria(dBuV)</t>
  </si>
  <si>
    <t>Ático-Salón</t>
  </si>
  <si>
    <t>Valor máximo requerido</t>
  </si>
  <si>
    <t>Valor mínmo requerido</t>
  </si>
  <si>
    <t>Smax=AtomaMejor + Valor máx req</t>
  </si>
  <si>
    <t>Smin=AtomaPeor + Valor mín req</t>
  </si>
  <si>
    <t>Media(Smax, Smin)</t>
  </si>
  <si>
    <t>Nivel de señal en Toma(dBuV)</t>
  </si>
  <si>
    <t>Señal Toma mejor</t>
  </si>
  <si>
    <t>Seña Toma peor</t>
  </si>
  <si>
    <t>Desequilibrio(dB)</t>
  </si>
  <si>
    <t>N/A</t>
  </si>
  <si>
    <t>Desequilibrio(dB) &lt;= 12dB</t>
  </si>
  <si>
    <t>Respuesta Amplitud-Frecuencia o rizado (RAF) en toma peor(dBuV)</t>
  </si>
  <si>
    <t>TERR</t>
  </si>
  <si>
    <t>( f = 15 MHz )</t>
  </si>
  <si>
    <t>Rizado(dB)</t>
  </si>
  <si>
    <t>Rcable(dB) = L * (Afmax-Afmin)</t>
  </si>
  <si>
    <t>Mezclador</t>
  </si>
  <si>
    <t>Relementos(dB) = Sum(2*ti)</t>
  </si>
  <si>
    <t>Derivador</t>
  </si>
  <si>
    <t>Rizado total toma peor</t>
  </si>
  <si>
    <t>PAU</t>
  </si>
  <si>
    <t>RAF &lt;= 16dB</t>
  </si>
  <si>
    <t>BAT</t>
  </si>
  <si>
    <t>Relación S/I(dB)</t>
  </si>
  <si>
    <t>S/IM3ref(dB)</t>
  </si>
  <si>
    <t>Sref</t>
  </si>
  <si>
    <t>StomaPeor</t>
  </si>
  <si>
    <t>S/IM3(dB) = S/IM3ref(dB)+2*(Sref-Stomapeor)</t>
  </si>
  <si>
    <t>S/IM3(dB)requerido RD</t>
  </si>
  <si>
    <t xml:space="preserve">Cumple RD? </t>
  </si>
  <si>
    <t>Relación C/N(dB) toma peor</t>
  </si>
  <si>
    <t>Relación C/N(dB)</t>
  </si>
  <si>
    <t>( f = 694 MHz )</t>
  </si>
  <si>
    <t>( f = 1350 MHz )</t>
  </si>
  <si>
    <t>B(MHz)</t>
  </si>
  <si>
    <t>Sant = Samplificador - Gamplificador +Ls</t>
  </si>
  <si>
    <t>Ls</t>
  </si>
  <si>
    <t>Fi = Ls * ( Fa + (Lr-1)/Ga)</t>
  </si>
  <si>
    <t>Ta/To</t>
  </si>
  <si>
    <t>Fi(dB)</t>
  </si>
  <si>
    <t>K</t>
  </si>
  <si>
    <t>Te antena (K) = Ta + To(Fi-1)</t>
  </si>
  <si>
    <t>N'ent = k*(To+Te)*B</t>
  </si>
  <si>
    <t>Nent(dBW) = 10log(N'ent)</t>
  </si>
  <si>
    <t>Nent(dBuV)= Nent(dBW)+30+108,75</t>
  </si>
  <si>
    <t>30+108,75</t>
  </si>
  <si>
    <t>C/N = Sant - Nent</t>
  </si>
  <si>
    <t>C/N(dB)requerido RD</t>
  </si>
  <si>
    <t>Valor MAX</t>
  </si>
  <si>
    <t>Valor MIN</t>
  </si>
  <si>
    <t>RD 346/2011 MAX</t>
  </si>
  <si>
    <t>RD 346/2011 MIN</t>
  </si>
  <si>
    <t>¿ CUMPLE ?</t>
  </si>
  <si>
    <r>
      <rPr>
        <rFont val="Arial"/>
        <b/>
        <color theme="1"/>
        <sz val="12.0"/>
      </rPr>
      <t xml:space="preserve">Atenuación (dB)
[Salida Amplificador Monocanal] --&gt; [Entrada RS]
</t>
    </r>
    <r>
      <rPr>
        <rFont val="Arial"/>
        <b val="0"/>
        <color theme="1"/>
        <sz val="12.0"/>
      </rPr>
      <t xml:space="preserve">AtÁtico(dB)=At.ins.Repartidor(dB)** +At.ins.Mezclador(dB)+AlturaPlanta(m) * At.cable[f] (dB/m) 
At8ºPlanta(dB)=AtÁtico(dB)+At.ins.DerivadorÁtico(dB)+AlturaPlanta(m) * At.cable[f] (dB)  
…At1ºPlanta(dB)=At2ºPlanta(dB)+At.ins.Derivador2ºPlanta(dB)+AlturaPlanta(m) * At.cable[f] (dB)   </t>
    </r>
    <r>
      <rPr>
        <rFont val="Arial"/>
        <b/>
        <color theme="1"/>
        <sz val="12.0"/>
      </rPr>
      <t xml:space="preserve">
</t>
    </r>
  </si>
  <si>
    <t>**Sólo para V/U</t>
  </si>
  <si>
    <r>
      <rPr>
        <rFont val="Arial"/>
        <b/>
        <color theme="1"/>
        <sz val="12.0"/>
      </rPr>
      <t xml:space="preserve">Atenuación (dB)
[Entrada RS] --&gt; [Salida PAU-Repartidor]
</t>
    </r>
    <r>
      <rPr>
        <rFont val="Arial"/>
        <b val="0"/>
        <color theme="1"/>
        <sz val="12.0"/>
      </rPr>
      <t>AtÁticoA (dB)=At.der.RepartidorÁtico(dB) +DistanciaRepartidorPAU(m) * At.cable[f] (dB/m)+At.ins.PAU (dB)
At8ºPlantaA(dB) = At.der.Repartidor8ºPlanta(dB) +DistanciaRepartidorPAU(m) * At.cable[f] (dB/m)+At.ins.PAU(dB) 
…..
At1ºPlantaB(dB)= At.der.Repartidor1ºPlanta(dB) +DistanciaRepartidorPAU(m) * At.cable[f] (dB/m)+At.ins.PAU(dB)</t>
    </r>
  </si>
  <si>
    <t>8ºB</t>
  </si>
  <si>
    <t>8ºA</t>
  </si>
  <si>
    <t>7ºB</t>
  </si>
  <si>
    <t>7ºA</t>
  </si>
  <si>
    <t>6ºB</t>
  </si>
  <si>
    <t>6ºA</t>
  </si>
  <si>
    <t>5ºB</t>
  </si>
  <si>
    <t>5ºA</t>
  </si>
  <si>
    <t>4ºB</t>
  </si>
  <si>
    <t>4ºA</t>
  </si>
  <si>
    <t>3ºB</t>
  </si>
  <si>
    <t>3ºA</t>
  </si>
  <si>
    <t>2ºB</t>
  </si>
  <si>
    <t>2ºA</t>
  </si>
  <si>
    <t>1ºB</t>
  </si>
  <si>
    <t>1ºA</t>
  </si>
  <si>
    <t xml:space="preserve">Se exponen aquí las características más relevantes para el diseño de la cabecera de RTV y Satélite. </t>
  </si>
  <si>
    <t>ANTENAS</t>
  </si>
  <si>
    <t>TDT*</t>
  </si>
  <si>
    <t>SAT</t>
  </si>
  <si>
    <t>Ganancia (dBi)</t>
  </si>
  <si>
    <t>*Modo BOSS on 42dBi
Modo off 17dBi</t>
  </si>
  <si>
    <t>LNB</t>
  </si>
  <si>
    <t>AMPLIFICADORES MONOCANALES</t>
  </si>
  <si>
    <t>Ganancia (dB)</t>
  </si>
  <si>
    <t>FUENTE ALIMENTACIÓN</t>
  </si>
  <si>
    <t>Figura de ruido (dB)</t>
  </si>
  <si>
    <t>Ganancia MAX (dB)</t>
  </si>
  <si>
    <t>Voltaje de salida (V)</t>
  </si>
  <si>
    <t>Consumo: I_MAX (mA)</t>
  </si>
  <si>
    <t>Corriente máx entrada (mA)</t>
  </si>
  <si>
    <t>Sum(I_MAX Amplificador)(mA)</t>
  </si>
  <si>
    <t>Corriente máx entrada Fuente Al (mA)</t>
  </si>
  <si>
    <t>Redimiento(%)</t>
  </si>
  <si>
    <t>&lt;=75%</t>
  </si>
  <si>
    <t xml:space="preserve">Se comprueba aquí si la cabecera RTV (no SAT) está bien configurada.
</t>
  </si>
  <si>
    <t>Info canales</t>
  </si>
  <si>
    <t>https://televisiondigital.mineco.gob.es/2DD-5G/Paginas/Que-tengo-que-hacer.aspx</t>
  </si>
  <si>
    <t>https://www.antenadigital.es/tdt/malaga.php</t>
  </si>
  <si>
    <t>Denominación</t>
  </si>
  <si>
    <t>Canal</t>
  </si>
  <si>
    <t>Frecuencia central (MHz)</t>
  </si>
  <si>
    <t>Señal de entrada (dBμV)
Sent(dBμV) = 3+20logf(MHz)</t>
  </si>
  <si>
    <t>C23</t>
  </si>
  <si>
    <t>C24</t>
  </si>
  <si>
    <t>C26</t>
  </si>
  <si>
    <t>C33</t>
  </si>
  <si>
    <t>C34</t>
  </si>
  <si>
    <t>C35</t>
  </si>
  <si>
    <t>C39</t>
  </si>
  <si>
    <t>C42</t>
  </si>
  <si>
    <t>C44</t>
  </si>
  <si>
    <t>C47</t>
  </si>
  <si>
    <t>MAUT(TL05MA)</t>
  </si>
  <si>
    <t>LOCAL</t>
  </si>
  <si>
    <t>Intensidad de campo (dBuV/m)</t>
  </si>
  <si>
    <t>TDT = 3+20logf(MHz) Intensidad de campo mínimo por RD-346</t>
  </si>
  <si>
    <t>RGE1-AND</t>
  </si>
  <si>
    <t>ESTATAL</t>
  </si>
  <si>
    <t>Ganancia antena (dBi)</t>
  </si>
  <si>
    <t>TDTEMP4K</t>
  </si>
  <si>
    <t>Señal a la salida de la antena (dBuV)</t>
  </si>
  <si>
    <t>S(dBuV) = E(dBuV/m) + G(dB) - 20log(f) + 32</t>
  </si>
  <si>
    <t>RGE2</t>
  </si>
  <si>
    <t>Señal entrada amplif. (dBuV)</t>
  </si>
  <si>
    <t>Sent = Ssal no se consideran pérdidas del cable</t>
  </si>
  <si>
    <t>MAUT-AND</t>
  </si>
  <si>
    <t>AUTONÓMICO</t>
  </si>
  <si>
    <t>Señal salida cabecera (dBuV)</t>
  </si>
  <si>
    <t>Valor estimado necesario</t>
  </si>
  <si>
    <t>MPE4</t>
  </si>
  <si>
    <t>Ganancia exigida al amplif. (dB)</t>
  </si>
  <si>
    <t>G(dB) = Ssal(dBuV/m) - Sent(dBuV/m)</t>
  </si>
  <si>
    <t>MPE1</t>
  </si>
  <si>
    <t>¿Amplificador válido?</t>
  </si>
  <si>
    <t>Ganancia necesaria &lt; Ganancia máxima amplificador</t>
  </si>
  <si>
    <t>MPE2</t>
  </si>
  <si>
    <t>MPE3</t>
  </si>
  <si>
    <t>MPE5</t>
  </si>
  <si>
    <t>RADIO</t>
  </si>
  <si>
    <t>Canales en la banda 87,5 a 108 MHz</t>
  </si>
  <si>
    <t>valor típico</t>
  </si>
  <si>
    <t>Canales en la banda 195 a 223 MHz (canales 8-11)</t>
  </si>
  <si>
    <t>Se exponen aquí los cálculos de la atenuación de las redes de distribución y dispersión de cable coaxial</t>
  </si>
  <si>
    <t>Atenuación (dB)
[RegistroPpal] --&gt; [PAU]
1310/1490 nm</t>
  </si>
  <si>
    <t>Atenuación (dB)
[RegistroPpal] --&gt; [PAU]
1550 nm</t>
  </si>
  <si>
    <t>Longitud (m)
[RegistroPpal] --&gt; [PAU]</t>
  </si>
  <si>
    <t>Longitud (m)
[RegistroPpal] --&gt; [TomaReserva]</t>
  </si>
  <si>
    <t>Atenuación (dB/(m))</t>
  </si>
  <si>
    <t>A(dB)PAU = 2*A(dB)ConectorSC/APC+L(m)RPPAU*A(dB)cable(nm)+A(dB)</t>
  </si>
  <si>
    <t>1310/1490 nm</t>
  </si>
  <si>
    <t>1550 nm</t>
  </si>
  <si>
    <t>Cable FO</t>
  </si>
  <si>
    <t>Conector SC/APC</t>
  </si>
  <si>
    <t>Distancia RP --&gt; RS1 (m)</t>
  </si>
  <si>
    <t>Distancia RS1 --&gt; RS2 (m)</t>
  </si>
  <si>
    <t>Longitud (m)
TOTAL</t>
  </si>
  <si>
    <t>8º B</t>
  </si>
  <si>
    <t>Dimensionado por vivienda tipo 1º</t>
  </si>
  <si>
    <t>Estancia</t>
  </si>
  <si>
    <t>distancia</t>
  </si>
  <si>
    <t>m cable</t>
  </si>
  <si>
    <r>
      <rPr>
        <rFont val="Arial"/>
        <b/>
        <color theme="1"/>
        <sz val="12.0"/>
      </rPr>
      <t xml:space="preserve">Atenuación por vivienda tipo (dB) [PAU] --&gt; [Toma]
</t>
    </r>
    <r>
      <rPr>
        <rFont val="Arial"/>
        <b val="0"/>
        <color theme="1"/>
        <sz val="12.0"/>
      </rPr>
      <t>At(dB)[PAU-&gt;Toma]=Lcable*Atcable+Conector</t>
    </r>
  </si>
  <si>
    <t>Dorm.3</t>
  </si>
  <si>
    <t>Vivienda tipo/Vivienda tipo</t>
  </si>
  <si>
    <t xml:space="preserve">1º </t>
  </si>
  <si>
    <t xml:space="preserve">2º - 8º </t>
  </si>
  <si>
    <t>Dorm.2</t>
  </si>
  <si>
    <t>1310nm</t>
  </si>
  <si>
    <t>Dorm.Ppal.</t>
  </si>
  <si>
    <t>1490 nm</t>
  </si>
  <si>
    <t>Cocina</t>
  </si>
  <si>
    <t>Salón</t>
  </si>
  <si>
    <t>Dimensionado por vivienda tipo 2º - 8º</t>
  </si>
  <si>
    <t>Distribución de las BAT FO</t>
  </si>
  <si>
    <t>Vivienda tipo</t>
  </si>
  <si>
    <t>Dimensionado por vivienda tipo Ático</t>
  </si>
  <si>
    <t>Total</t>
  </si>
  <si>
    <t>Nº viviendas</t>
  </si>
  <si>
    <t>Total BAT</t>
  </si>
  <si>
    <t>1º</t>
  </si>
  <si>
    <t>2º-8</t>
  </si>
  <si>
    <t>Total m cable</t>
  </si>
  <si>
    <t>Materiales necesarios para la red interior de usuario de cables de FO</t>
  </si>
  <si>
    <t>Cable</t>
  </si>
  <si>
    <t>32,41 m cable 2FO</t>
  </si>
  <si>
    <t>Longitud (m)
Interior</t>
  </si>
  <si>
    <t>Conectores SC/APC</t>
  </si>
  <si>
    <t xml:space="preserve">Se exponen aquí los elementos elegidos para el diseño a partir de los datos suministrados del fabricante. </t>
  </si>
  <si>
    <t>Elemento</t>
  </si>
  <si>
    <t>Nombre en Proyecto (Tipo)</t>
  </si>
  <si>
    <t>Código fabricante</t>
  </si>
  <si>
    <t>Nº unidades</t>
  </si>
  <si>
    <t>Servicio/s de uso</t>
  </si>
  <si>
    <t>Url</t>
  </si>
  <si>
    <t>Antena FM-Radio</t>
  </si>
  <si>
    <t>-</t>
  </si>
  <si>
    <t>FM-Radio</t>
  </si>
  <si>
    <t>https://www.televes.com/es/1201-antena-de-fm-recepcion-de-radio.html</t>
  </si>
  <si>
    <t>Antena DAB-Radio</t>
  </si>
  <si>
    <t>DAB-Radio</t>
  </si>
  <si>
    <t>https://www.televes.com/es/1050xx-antenadab-antena-de-dab-biii.html</t>
  </si>
  <si>
    <t>Antena COFDM-TV</t>
  </si>
  <si>
    <t>https://www.televes.com/es/catalog/product/view/id/3679/s/14992x_DATBOSS_700-Antena%20DAT%20BOSS%20UHF,%202%C2%BA%20Dividendo%20Digital%20(LTE700)/category/6/</t>
  </si>
  <si>
    <t>Antena satélite</t>
  </si>
  <si>
    <t>Sat. A/D</t>
  </si>
  <si>
    <t>https://www.televes.com/es/7930xx-isd630-parabola-de-aluminio-isd-630-63x57cm.html</t>
  </si>
  <si>
    <t>https://www.televes.com/es/lnb-single-lnb-offset-single-universal-1-salida-ha-va-hb-vb.html</t>
  </si>
  <si>
    <t>Amplificador monocanal</t>
  </si>
  <si>
    <t>https://www.televes.com/es/509012-amplificador-monocanal-t12-fm-dab-88-108-174-230mhz.html</t>
  </si>
  <si>
    <t>https://www.televes.com/es/509812-amplificador-monocanal-selectivo-t12-uhf-tdt-470-862mhz.html</t>
  </si>
  <si>
    <t>Fuente de alimentación para monocanales</t>
  </si>
  <si>
    <t>FM-Radio, DAB-Radio, TDT</t>
  </si>
  <si>
    <t>https://www.televes.com/es/catalog/product/view/id/61/s/549812-Fuente%20de%20alimentaci%C3%B3n%20T12%2024V%20-%202,5A%20(60W)/category/236/</t>
  </si>
  <si>
    <t>Amplificador FI</t>
  </si>
  <si>
    <t>https://www.televes.com/es/508012-amplificador-t12-fi-sat-950-2150mhz.html</t>
  </si>
  <si>
    <t>Mezclador de bandas</t>
  </si>
  <si>
    <t>https://www.televes.com/es/mezclador-smatv-mezclador-de-se-al-terrestre-y-satelite-2-entradas-matv-fi.html</t>
  </si>
  <si>
    <t>https://www.televes.com/es/519322-derivador-f-2d-5-2400mhz-12db.html</t>
  </si>
  <si>
    <t>https://www.televes.com/es/519323-derivador-f-2d-5-2400mhz-16db.html</t>
  </si>
  <si>
    <t>https://www.televes.com/es/519324-derivador-f-2d-5-2400mhz-20db.html</t>
  </si>
  <si>
    <t>https://www.televes.com/es/catalog/product/view/id/3491/s/519325-Derivador%20F%202D%205...2400MHz%2024dB/category/384/</t>
  </si>
  <si>
    <t>Repartidor banda terrena</t>
  </si>
  <si>
    <t>Todos</t>
  </si>
  <si>
    <t>https://www.televes.com/es/453003-repartidor-f-2d-5-1220mhz-4db-docsis-3-1.html</t>
  </si>
  <si>
    <t>PAU repartidor</t>
  </si>
  <si>
    <t>https://www.televes.com/es/519535-repartidor-con-pau-f-5d-5-2400mhz-11-10db.html</t>
  </si>
  <si>
    <t>Cable coaxial</t>
  </si>
  <si>
    <t>T-100</t>
  </si>
  <si>
    <t>https://www.televes.com/es/2126xx-coaxial-t100-eca-16vatc-cable-coaxial-t100-16vatc-euroclase-eca-y-blindaje-clase-a.html</t>
  </si>
  <si>
    <t>Toma RTV</t>
  </si>
  <si>
    <t>https://www.televes.com/es/52x6-4301-toma-terminal-toma-terminal-separadora-2-conectores-fm-tv-sat.html</t>
  </si>
  <si>
    <t>Resistencia 75 ohm</t>
  </si>
  <si>
    <t>https://www.televes.com/es/4058-405802-carga-terminal-75-ohm-tipo-f-sin-bloqueo-de-dc.html</t>
  </si>
  <si>
    <t>Cable 2FO</t>
  </si>
  <si>
    <t>https://www.televes.com/es/catalog/product/view/id/3697/s/2319xx_FK2_interior-Cable%20FK2%20monomodo%202%20fibras,%20Euroclase%20Dca%20y%20LSFH,%20de%20interior/category/1174/</t>
  </si>
  <si>
    <t>https://www.televes.com/es/2329-conector-sc-apc.html</t>
  </si>
  <si>
    <t>Caja de segregación</t>
  </si>
  <si>
    <t>https://www.televes.com/es/catalog/product/view/id/375/s/231310-Registro%20secundario%20final%20de%20fibra%20%C3%B3ptica/category/1218/</t>
  </si>
  <si>
    <t>Roseta óptica</t>
  </si>
  <si>
    <t>https://www.televes.com/es/233232-roseta-terminal-de-fibra-optica-para-adaptacion-de-tomas-en-superficie.html</t>
  </si>
  <si>
    <t>Patch Panel de fibra óptica 32 puertos</t>
  </si>
  <si>
    <t>Aqara Presence Sensor FP2</t>
  </si>
  <si>
    <t>https://eu.aqara.com/es-eu/products/aqara-presence-sensor-fp2</t>
  </si>
  <si>
    <t>Aqara Motion Sensor P1</t>
  </si>
  <si>
    <t>https://eu.aqara.com/es-eu/products/aqara-motion-sensor-p1</t>
  </si>
  <si>
    <t>HomePilot Gateway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</si>
</sst>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€&quot;"/>
  </numFmts>
  <fonts count="18">
    <font>
      <sz val="11.0"/>
      <color theme="1"/>
      <name val="Calibri"/>
      <scheme val="minor"/>
    </font>
    <font>
      <b/>
      <sz val="12.0"/>
      <color theme="1"/>
      <name val="Arial"/>
    </font>
    <font/>
    <font>
      <sz val="12.0"/>
      <color theme="1"/>
      <name val="Arial"/>
    </font>
    <font>
      <color theme="1"/>
      <name val="Calibri"/>
      <scheme val="minor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F7981D"/>
      <name val="Arial"/>
    </font>
    <font>
      <sz val="12.0"/>
      <color theme="1"/>
      <name val="Calibri"/>
      <scheme val="minor"/>
    </font>
    <font>
      <sz val="12.0"/>
      <color theme="1"/>
      <name val="Calibri"/>
    </font>
    <font>
      <u/>
      <sz val="12.0"/>
      <color rgb="FF0000FF"/>
      <name val="Arial"/>
    </font>
    <font>
      <sz val="12.0"/>
      <color rgb="FFFF0000"/>
      <name val="Arial"/>
    </font>
    <font>
      <u/>
      <sz val="12.0"/>
      <color rgb="FF000000"/>
      <name val="Arial"/>
    </font>
    <font>
      <u/>
      <sz val="12.0"/>
      <color rgb="FF000000"/>
      <name val="Arial"/>
    </font>
    <font>
      <u/>
      <sz val="12.0"/>
      <color rgb="FF000000"/>
      <name val="Arial"/>
    </font>
    <font>
      <u/>
      <sz val="12.0"/>
      <color rgb="FF000000"/>
      <name val="Arial"/>
    </font>
    <font>
      <u/>
      <sz val="12.0"/>
      <color rgb="FF000000"/>
      <name val="Arial"/>
    </font>
    <font>
      <u/>
      <sz val="12.0"/>
      <color rgb="FFFF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</fills>
  <borders count="5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/>
    </border>
    <border>
      <top/>
    </border>
    <border>
      <right/>
      <top/>
    </border>
    <border>
      <right/>
    </border>
    <border>
      <left style="medium">
        <color rgb="FF000000"/>
      </left>
      <bottom/>
    </border>
    <border>
      <bottom/>
    </border>
    <border>
      <right/>
      <bottom/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right style="thick">
        <color rgb="FF000000"/>
      </right>
    </border>
    <border>
      <right style="thick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 style="medium">
        <color rgb="FF000000"/>
      </right>
      <top/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0"/>
    </xf>
    <xf borderId="7" fillId="0" fontId="3" numFmtId="0" xfId="0" applyAlignment="1" applyBorder="1" applyFont="1">
      <alignment horizontal="center" readingOrder="0" vertical="center"/>
    </xf>
    <xf borderId="8" fillId="3" fontId="5" numFmtId="0" xfId="0" applyAlignment="1" applyBorder="1" applyFill="1" applyFont="1">
      <alignment horizontal="center" readingOrder="0" shrinkToFit="0" vertical="center" wrapText="0"/>
    </xf>
    <xf borderId="9" fillId="3" fontId="1" numFmtId="0" xfId="0" applyAlignment="1" applyBorder="1" applyFont="1">
      <alignment horizontal="center" readingOrder="0" shrinkToFit="0" vertical="center" wrapText="0"/>
    </xf>
    <xf borderId="8" fillId="2" fontId="5" numFmtId="0" xfId="0" applyAlignment="1" applyBorder="1" applyFont="1">
      <alignment horizontal="center" shrinkToFit="0" vertical="center" wrapText="0"/>
    </xf>
    <xf borderId="10" fillId="0" fontId="2" numFmtId="0" xfId="0" applyBorder="1" applyFont="1"/>
    <xf borderId="8" fillId="3" fontId="1" numFmtId="0" xfId="0" applyAlignment="1" applyBorder="1" applyFont="1">
      <alignment horizontal="center" readingOrder="0" shrinkToFit="0" vertical="center" wrapText="0"/>
    </xf>
    <xf borderId="11" fillId="0" fontId="2" numFmtId="0" xfId="0" applyBorder="1" applyFont="1"/>
    <xf borderId="0" fillId="0" fontId="3" numFmtId="0" xfId="0" applyAlignment="1" applyFont="1">
      <alignment horizontal="center" readingOrder="0" vertical="center"/>
    </xf>
    <xf borderId="12" fillId="3" fontId="1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6" numFmtId="164" xfId="0" applyAlignment="1" applyFont="1" applyNumberFormat="1">
      <alignment horizontal="left" readingOrder="0" shrinkToFit="0" wrapText="1"/>
    </xf>
    <xf borderId="0" fillId="0" fontId="3" numFmtId="0" xfId="0" applyAlignment="1" applyFont="1">
      <alignment horizontal="center" shrinkToFit="0" vertical="center" wrapText="0"/>
    </xf>
    <xf borderId="0" fillId="0" fontId="3" numFmtId="0" xfId="0" applyFont="1"/>
    <xf borderId="1" fillId="3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wrapText="1"/>
    </xf>
    <xf borderId="13" fillId="0" fontId="2" numFmtId="0" xfId="0" applyBorder="1" applyFont="1"/>
    <xf borderId="7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4" fillId="0" fontId="1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  <xf borderId="15" fillId="3" fontId="3" numFmtId="0" xfId="0" applyAlignment="1" applyBorder="1" applyFont="1">
      <alignment horizontal="center" shrinkToFit="0" vertical="center" wrapText="1"/>
    </xf>
    <xf borderId="15" fillId="3" fontId="6" numFmtId="0" xfId="0" applyAlignment="1" applyBorder="1" applyFont="1">
      <alignment horizontal="center" shrinkToFit="0" vertical="center" wrapText="1"/>
    </xf>
    <xf borderId="15" fillId="3" fontId="6" numFmtId="0" xfId="0" applyAlignment="1" applyBorder="1" applyFont="1">
      <alignment horizontal="center" readingOrder="0" shrinkToFit="0" vertical="center" wrapText="1"/>
    </xf>
    <xf borderId="15" fillId="3" fontId="3" numFmtId="0" xfId="0" applyAlignment="1" applyBorder="1" applyFont="1">
      <alignment horizontal="center" readingOrder="0" shrinkToFit="0" vertical="center" wrapText="1"/>
    </xf>
    <xf borderId="15" fillId="4" fontId="3" numFmtId="0" xfId="0" applyAlignment="1" applyBorder="1" applyFill="1" applyFont="1">
      <alignment horizontal="center" readingOrder="0" shrinkToFit="0" vertical="center" wrapText="1"/>
    </xf>
    <xf borderId="15" fillId="4" fontId="6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5" fillId="4" fontId="3" numFmtId="0" xfId="0" applyAlignment="1" applyBorder="1" applyFont="1">
      <alignment horizontal="center" shrinkToFit="0" vertical="center" wrapText="1"/>
    </xf>
    <xf borderId="16" fillId="4" fontId="3" numFmtId="0" xfId="0" applyAlignment="1" applyBorder="1" applyFont="1">
      <alignment horizontal="center" shrinkToFit="0" vertical="center" wrapText="1"/>
    </xf>
    <xf borderId="17" fillId="4" fontId="3" numFmtId="0" xfId="0" applyAlignment="1" applyBorder="1" applyFont="1">
      <alignment horizontal="center" shrinkToFit="0" vertical="center" wrapText="1"/>
    </xf>
    <xf borderId="18" fillId="4" fontId="3" numFmtId="0" xfId="0" applyAlignment="1" applyBorder="1" applyFont="1">
      <alignment horizontal="center" shrinkToFit="0" vertical="center" wrapText="1"/>
    </xf>
    <xf borderId="19" fillId="3" fontId="1" numFmtId="0" xfId="0" applyAlignment="1" applyBorder="1" applyFont="1">
      <alignment horizontal="center" readingOrder="0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12" fillId="0" fontId="3" numFmtId="0" xfId="0" applyAlignment="1" applyBorder="1" applyFont="1">
      <alignment horizontal="center" readingOrder="0" shrinkToFit="0" vertical="center" wrapText="1"/>
    </xf>
    <xf borderId="26" fillId="0" fontId="2" numFmtId="0" xfId="0" applyBorder="1" applyFont="1"/>
    <xf borderId="8" fillId="3" fontId="1" numFmtId="2" xfId="0" applyAlignment="1" applyBorder="1" applyFont="1" applyNumberFormat="1">
      <alignment horizontal="center" readingOrder="0" shrinkToFit="0" vertical="center" wrapText="1"/>
    </xf>
    <xf borderId="15" fillId="5" fontId="3" numFmtId="0" xfId="0" applyAlignment="1" applyBorder="1" applyFill="1" applyFon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5" fillId="6" fontId="3" numFmtId="0" xfId="0" applyAlignment="1" applyBorder="1" applyFill="1" applyFont="1">
      <alignment horizontal="center" readingOrder="0" shrinkToFit="0" vertical="center" wrapText="1"/>
    </xf>
    <xf borderId="12" fillId="2" fontId="1" numFmtId="0" xfId="0" applyAlignment="1" applyBorder="1" applyFont="1">
      <alignment horizontal="center" readingOrder="0" shrinkToFit="0" vertical="center" wrapText="1"/>
    </xf>
    <xf borderId="27" fillId="0" fontId="2" numFmtId="0" xfId="0" applyBorder="1" applyFont="1"/>
    <xf borderId="28" fillId="2" fontId="1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29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30" fillId="0" fontId="2" numFmtId="0" xfId="0" applyBorder="1" applyFont="1"/>
    <xf borderId="31" fillId="5" fontId="1" numFmtId="0" xfId="0" applyAlignment="1" applyBorder="1" applyFont="1">
      <alignment horizontal="center" readingOrder="0" shrinkToFit="0" vertical="center" wrapText="1"/>
    </xf>
    <xf borderId="15" fillId="5" fontId="1" numFmtId="0" xfId="0" applyAlignment="1" applyBorder="1" applyFont="1">
      <alignment horizontal="center" shrinkToFit="0" vertical="center" wrapText="1"/>
    </xf>
    <xf borderId="32" fillId="5" fontId="1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1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33" fillId="0" fontId="1" numFmtId="0" xfId="0" applyAlignment="1" applyBorder="1" applyFont="1">
      <alignment horizontal="center" readingOrder="0" shrinkToFit="0" vertical="center" wrapText="1"/>
    </xf>
    <xf borderId="17" fillId="0" fontId="2" numFmtId="0" xfId="0" applyBorder="1" applyFont="1"/>
    <xf borderId="15" fillId="5" fontId="1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34" fillId="0" fontId="3" numFmtId="2" xfId="0" applyAlignment="1" applyBorder="1" applyFont="1" applyNumberFormat="1">
      <alignment horizontal="center" shrinkToFit="0" vertical="center" wrapText="1"/>
    </xf>
    <xf borderId="34" fillId="4" fontId="3" numFmtId="2" xfId="0" applyAlignment="1" applyBorder="1" applyFont="1" applyNumberFormat="1">
      <alignment horizontal="center" shrinkToFit="0" vertical="center" wrapText="1"/>
    </xf>
    <xf borderId="35" fillId="0" fontId="3" numFmtId="2" xfId="0" applyAlignment="1" applyBorder="1" applyFont="1" applyNumberFormat="1">
      <alignment horizontal="center" shrinkToFit="0" vertical="center" wrapText="1"/>
    </xf>
    <xf borderId="35" fillId="4" fontId="3" numFmtId="2" xfId="0" applyAlignment="1" applyBorder="1" applyFont="1" applyNumberFormat="1">
      <alignment horizontal="center" shrinkToFit="0" vertical="center" wrapText="1"/>
    </xf>
    <xf borderId="15" fillId="6" fontId="3" numFmtId="2" xfId="0" applyAlignment="1" applyBorder="1" applyFont="1" applyNumberFormat="1">
      <alignment horizontal="center" shrinkToFit="0" vertical="center" wrapText="1"/>
    </xf>
    <xf borderId="34" fillId="7" fontId="3" numFmtId="2" xfId="0" applyAlignment="1" applyBorder="1" applyFill="1" applyFont="1" applyNumberFormat="1">
      <alignment horizontal="center" shrinkToFit="0" vertical="center" wrapText="1"/>
    </xf>
    <xf borderId="35" fillId="7" fontId="3" numFmtId="2" xfId="0" applyAlignment="1" applyBorder="1" applyFont="1" applyNumberFormat="1">
      <alignment horizontal="center" shrinkToFit="0" vertical="center" wrapText="1"/>
    </xf>
    <xf borderId="15" fillId="5" fontId="3" numFmtId="0" xfId="0" applyAlignment="1" applyBorder="1" applyFont="1">
      <alignment horizontal="center" readingOrder="0" shrinkToFit="0" vertical="center" wrapText="1"/>
    </xf>
    <xf borderId="15" fillId="6" fontId="1" numFmtId="2" xfId="0" applyAlignment="1" applyBorder="1" applyFont="1" applyNumberFormat="1">
      <alignment horizontal="center" readingOrder="0" shrinkToFit="0" vertical="center" wrapText="1"/>
    </xf>
    <xf borderId="15" fillId="6" fontId="1" numFmtId="2" xfId="0" applyAlignment="1" applyBorder="1" applyFont="1" applyNumberFormat="1">
      <alignment horizontal="center" shrinkToFit="0" vertical="center" wrapText="1"/>
    </xf>
    <xf borderId="15" fillId="6" fontId="3" numFmtId="2" xfId="0" applyAlignment="1" applyBorder="1" applyFont="1" applyNumberFormat="1">
      <alignment horizontal="center" readingOrder="0" shrinkToFit="0" vertical="center" wrapText="1"/>
    </xf>
    <xf borderId="32" fillId="5" fontId="1" numFmtId="0" xfId="0" applyAlignment="1" applyBorder="1" applyFont="1">
      <alignment horizontal="center" readingOrder="0" shrinkToFit="0" vertical="center" wrapText="1"/>
    </xf>
    <xf borderId="36" fillId="0" fontId="2" numFmtId="0" xfId="0" applyBorder="1" applyFont="1"/>
    <xf borderId="15" fillId="2" fontId="3" numFmtId="2" xfId="0" applyAlignment="1" applyBorder="1" applyFont="1" applyNumberFormat="1">
      <alignment horizontal="center" readingOrder="0" shrinkToFit="0" vertical="center" wrapText="1"/>
    </xf>
    <xf borderId="32" fillId="6" fontId="3" numFmtId="0" xfId="0" applyAlignment="1" applyBorder="1" applyFont="1">
      <alignment horizontal="center" shrinkToFit="0" vertical="center" wrapText="1"/>
    </xf>
    <xf borderId="32" fillId="6" fontId="3" numFmtId="0" xfId="0" applyAlignment="1" applyBorder="1" applyFont="1">
      <alignment horizontal="center" readingOrder="0" shrinkToFit="0" vertical="center" wrapText="1"/>
    </xf>
    <xf borderId="32" fillId="6" fontId="1" numFmtId="2" xfId="0" applyAlignment="1" applyBorder="1" applyFont="1" applyNumberFormat="1">
      <alignment horizontal="center" readingOrder="0" shrinkToFit="0" vertical="center" wrapText="1"/>
    </xf>
    <xf borderId="32" fillId="6" fontId="3" numFmtId="2" xfId="0" applyAlignment="1" applyBorder="1" applyFont="1" applyNumberFormat="1">
      <alignment horizontal="center" readingOrder="0" shrinkToFit="0" vertical="center" wrapText="1"/>
    </xf>
    <xf borderId="32" fillId="6" fontId="3" numFmtId="2" xfId="0" applyAlignment="1" applyBorder="1" applyFont="1" applyNumberFormat="1">
      <alignment horizontal="center" shrinkToFit="0" vertical="center" wrapText="1"/>
    </xf>
    <xf borderId="32" fillId="6" fontId="1" numFmtId="2" xfId="0" applyAlignment="1" applyBorder="1" applyFont="1" applyNumberFormat="1">
      <alignment horizontal="center" shrinkToFit="0" vertical="center" wrapText="1"/>
    </xf>
    <xf borderId="15" fillId="2" fontId="3" numFmtId="2" xfId="0" applyAlignment="1" applyBorder="1" applyFont="1" applyNumberFormat="1">
      <alignment horizontal="center" shrinkToFit="0" vertical="center" wrapText="1"/>
    </xf>
    <xf borderId="15" fillId="3" fontId="3" numFmtId="0" xfId="0" applyAlignment="1" applyBorder="1" applyFont="1">
      <alignment horizontal="center" shrinkToFit="0" vertical="center" wrapText="1"/>
    </xf>
    <xf borderId="32" fillId="3" fontId="3" numFmtId="0" xfId="0" applyAlignment="1" applyBorder="1" applyFont="1">
      <alignment horizontal="center" readingOrder="0" shrinkToFit="0" vertical="center" wrapText="1"/>
    </xf>
    <xf borderId="32" fillId="3" fontId="3" numFmtId="11" xfId="0" applyAlignment="1" applyBorder="1" applyFont="1" applyNumberFormat="1">
      <alignment horizontal="center" shrinkToFit="0" vertical="center" wrapText="1"/>
    </xf>
    <xf borderId="15" fillId="6" fontId="3" numFmtId="11" xfId="0" applyAlignment="1" applyBorder="1" applyFont="1" applyNumberFormat="1">
      <alignment horizontal="center" readingOrder="0" shrinkToFit="0" vertical="center" wrapText="1"/>
    </xf>
    <xf borderId="32" fillId="6" fontId="3" numFmtId="11" xfId="0" applyAlignment="1" applyBorder="1" applyFont="1" applyNumberFormat="1">
      <alignment horizontal="center" readingOrder="0" shrinkToFit="0" vertical="center" wrapText="1"/>
    </xf>
    <xf borderId="34" fillId="8" fontId="3" numFmtId="2" xfId="0" applyAlignment="1" applyBorder="1" applyFill="1" applyFont="1" applyNumberFormat="1">
      <alignment horizontal="center" shrinkToFit="0" vertical="center" wrapText="1"/>
    </xf>
    <xf borderId="35" fillId="8" fontId="3" numFmtId="2" xfId="0" applyAlignment="1" applyBorder="1" applyFont="1" applyNumberFormat="1">
      <alignment horizontal="center" shrinkToFit="0" vertical="center" wrapText="1"/>
    </xf>
    <xf borderId="0" fillId="9" fontId="7" numFmtId="0" xfId="0" applyAlignment="1" applyFill="1" applyFont="1">
      <alignment horizontal="center" shrinkToFit="0" vertical="center" wrapText="1"/>
    </xf>
    <xf borderId="0" fillId="9" fontId="6" numFmtId="0" xfId="0" applyAlignment="1" applyFont="1">
      <alignment horizontal="center" readingOrder="0" shrinkToFit="0" vertical="center" wrapText="1"/>
    </xf>
    <xf borderId="37" fillId="3" fontId="1" numFmtId="0" xfId="0" applyAlignment="1" applyBorder="1" applyFont="1">
      <alignment horizontal="center" shrinkToFit="0" vertical="center" wrapText="1"/>
    </xf>
    <xf borderId="38" fillId="2" fontId="1" numFmtId="2" xfId="0" applyAlignment="1" applyBorder="1" applyFont="1" applyNumberFormat="1">
      <alignment horizontal="center" shrinkToFit="0" vertical="center" wrapText="1"/>
    </xf>
    <xf borderId="39" fillId="2" fontId="1" numFmtId="2" xfId="0" applyAlignment="1" applyBorder="1" applyFont="1" applyNumberFormat="1">
      <alignment horizontal="center" shrinkToFit="0" vertical="center" wrapText="1"/>
    </xf>
    <xf borderId="40" fillId="2" fontId="1" numFmtId="2" xfId="0" applyAlignment="1" applyBorder="1" applyFont="1" applyNumberFormat="1">
      <alignment horizontal="center" shrinkToFit="0" vertical="center" wrapText="1"/>
    </xf>
    <xf borderId="41" fillId="3" fontId="1" numFmtId="2" xfId="0" applyAlignment="1" applyBorder="1" applyFont="1" applyNumberFormat="1">
      <alignment horizontal="center" shrinkToFit="0" vertical="center" wrapText="1"/>
    </xf>
    <xf borderId="42" fillId="3" fontId="1" numFmtId="2" xfId="0" applyAlignment="1" applyBorder="1" applyFont="1" applyNumberFormat="1">
      <alignment horizontal="center" shrinkToFit="0" vertical="center" wrapText="1"/>
    </xf>
    <xf borderId="43" fillId="3" fontId="1" numFmtId="2" xfId="0" applyAlignment="1" applyBorder="1" applyFont="1" applyNumberFormat="1">
      <alignment horizontal="center" shrinkToFit="0" vertical="center" wrapText="1"/>
    </xf>
    <xf borderId="44" fillId="2" fontId="1" numFmtId="0" xfId="0" applyAlignment="1" applyBorder="1" applyFont="1">
      <alignment horizontal="center" shrinkToFit="0" vertical="center" wrapText="1"/>
    </xf>
    <xf borderId="45" fillId="0" fontId="2" numFmtId="0" xfId="0" applyBorder="1" applyFont="1"/>
    <xf borderId="38" fillId="2" fontId="1" numFmtId="0" xfId="0" applyAlignment="1" applyBorder="1" applyFont="1">
      <alignment horizontal="center" shrinkToFit="0" vertical="center" wrapText="1"/>
    </xf>
    <xf borderId="46" fillId="2" fontId="1" numFmtId="0" xfId="0" applyAlignment="1" applyBorder="1" applyFont="1">
      <alignment horizontal="center" shrinkToFit="0" vertical="center" wrapText="1"/>
    </xf>
    <xf borderId="47" fillId="0" fontId="2" numFmtId="0" xfId="0" applyBorder="1" applyFont="1"/>
    <xf borderId="41" fillId="2" fontId="1" numFmtId="0" xfId="0" applyAlignment="1" applyBorder="1" applyFont="1">
      <alignment horizontal="center" shrinkToFit="0" vertical="center" wrapText="1"/>
    </xf>
    <xf borderId="19" fillId="2" fontId="1" numFmtId="0" xfId="0" applyAlignment="1" applyBorder="1" applyFont="1">
      <alignment horizontal="center" shrinkToFit="0" vertical="center" wrapText="1"/>
    </xf>
    <xf borderId="48" fillId="0" fontId="2" numFmtId="0" xfId="0" applyBorder="1" applyFont="1"/>
    <xf borderId="49" fillId="2" fontId="1" numFmtId="0" xfId="0" applyAlignment="1" applyBorder="1" applyFont="1">
      <alignment horizontal="center" shrinkToFit="0" vertical="center" wrapText="1"/>
    </xf>
    <xf borderId="50" fillId="0" fontId="2" numFmtId="0" xfId="0" applyBorder="1" applyFont="1"/>
    <xf borderId="44" fillId="3" fontId="1" numFmtId="0" xfId="0" applyAlignment="1" applyBorder="1" applyFont="1">
      <alignment horizontal="center" shrinkToFit="0" vertical="center" wrapText="1"/>
    </xf>
    <xf borderId="41" fillId="3" fontId="1" numFmtId="0" xfId="0" applyAlignment="1" applyBorder="1" applyFont="1">
      <alignment horizontal="center" shrinkToFit="0" vertical="center" wrapText="1"/>
    </xf>
    <xf borderId="12" fillId="3" fontId="1" numFmtId="0" xfId="0" applyAlignment="1" applyBorder="1" applyFont="1">
      <alignment horizontal="center" shrinkToFit="0" vertical="center" wrapText="1"/>
    </xf>
    <xf borderId="51" fillId="0" fontId="2" numFmtId="0" xfId="0" applyBorder="1" applyFont="1"/>
    <xf borderId="49" fillId="3" fontId="1" numFmtId="0" xfId="0" applyAlignment="1" applyBorder="1" applyFont="1">
      <alignment horizontal="center" shrinkToFit="0" vertical="center" wrapText="1"/>
    </xf>
    <xf borderId="8" fillId="2" fontId="6" numFmtId="0" xfId="0" applyAlignment="1" applyBorder="1" applyFont="1">
      <alignment horizontal="center" shrinkToFit="0" vertical="center" wrapText="1"/>
    </xf>
    <xf borderId="51" fillId="2" fontId="6" numFmtId="0" xfId="0" applyAlignment="1" applyBorder="1" applyFont="1">
      <alignment horizontal="center" shrinkToFit="0" vertical="center" wrapText="1"/>
    </xf>
    <xf borderId="8" fillId="2" fontId="3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8" fillId="0" fontId="3" numFmtId="0" xfId="0" applyAlignment="1" applyBorder="1" applyFont="1">
      <alignment horizontal="center" shrinkToFit="0" vertical="center" wrapText="1"/>
    </xf>
    <xf borderId="15" fillId="9" fontId="3" numFmtId="0" xfId="0" applyAlignment="1" applyBorder="1" applyFont="1">
      <alignment horizontal="center" readingOrder="0" shrinkToFit="0" vertical="center" wrapText="1"/>
    </xf>
    <xf borderId="15" fillId="9" fontId="3" numFmtId="0" xfId="0" applyAlignment="1" applyBorder="1" applyFont="1">
      <alignment horizontal="center" shrinkToFit="0" vertical="center" wrapText="1"/>
    </xf>
    <xf borderId="16" fillId="9" fontId="3" numFmtId="0" xfId="0" applyAlignment="1" applyBorder="1" applyFont="1">
      <alignment horizontal="center" shrinkToFit="0" vertical="center" wrapText="1"/>
    </xf>
    <xf borderId="16" fillId="3" fontId="3" numFmtId="0" xfId="0" applyAlignment="1" applyBorder="1" applyFont="1">
      <alignment horizontal="center" shrinkToFit="0" vertical="center" wrapText="1"/>
    </xf>
    <xf borderId="16" fillId="9" fontId="3" numFmtId="0" xfId="0" applyAlignment="1" applyBorder="1" applyFont="1">
      <alignment horizontal="center" readingOrder="0" shrinkToFit="0" vertical="center" wrapText="1"/>
    </xf>
    <xf borderId="15" fillId="2" fontId="3" numFmtId="0" xfId="0" applyAlignment="1" applyBorder="1" applyFont="1">
      <alignment horizontal="center" readingOrder="0" shrinkToFit="0" vertical="center" wrapText="1"/>
    </xf>
    <xf borderId="17" fillId="9" fontId="3" numFmtId="0" xfId="0" applyAlignment="1" applyBorder="1" applyFont="1">
      <alignment horizontal="center" readingOrder="0" shrinkToFit="0" vertical="center" wrapText="1"/>
    </xf>
    <xf borderId="18" fillId="9" fontId="3" numFmtId="0" xfId="0" applyAlignment="1" applyBorder="1" applyFont="1">
      <alignment horizontal="center" readingOrder="0" shrinkToFit="0" vertical="center" wrapText="1"/>
    </xf>
    <xf borderId="18" fillId="3" fontId="3" numFmtId="0" xfId="0" applyAlignment="1" applyBorder="1" applyFont="1">
      <alignment horizontal="center" readingOrder="0" shrinkToFit="0" vertical="center" wrapText="1"/>
    </xf>
    <xf borderId="17" fillId="3" fontId="3" numFmtId="0" xfId="0" applyAlignment="1" applyBorder="1" applyFont="1">
      <alignment horizontal="center" shrinkToFit="0" vertical="center" wrapText="1"/>
    </xf>
    <xf borderId="18" fillId="3" fontId="3" numFmtId="0" xfId="0" applyAlignment="1" applyBorder="1" applyFont="1">
      <alignment horizontal="center" shrinkToFit="0" vertical="center" wrapText="1"/>
    </xf>
    <xf borderId="31" fillId="5" fontId="5" numFmtId="0" xfId="0" applyAlignment="1" applyBorder="1" applyFont="1">
      <alignment horizontal="center" readingOrder="0" shrinkToFit="0" vertical="center" wrapText="1"/>
    </xf>
    <xf borderId="3" fillId="3" fontId="10" numFmtId="0" xfId="0" applyAlignment="1" applyBorder="1" applyFont="1">
      <alignment horizontal="center" readingOrder="0" shrinkToFit="0" vertical="center" wrapText="1"/>
    </xf>
    <xf borderId="15" fillId="5" fontId="5" numFmtId="0" xfId="0" applyAlignment="1" applyBorder="1" applyFont="1">
      <alignment horizontal="center" readingOrder="0" shrinkToFit="0" vertical="center" wrapText="1"/>
    </xf>
    <xf borderId="0" fillId="6" fontId="1" numFmtId="0" xfId="0" applyAlignment="1" applyFont="1">
      <alignment horizontal="center" shrinkToFit="0" vertical="center" wrapText="1"/>
    </xf>
    <xf borderId="52" fillId="6" fontId="1" numFmtId="0" xfId="0" applyAlignment="1" applyBorder="1" applyFont="1">
      <alignment horizontal="center" readingOrder="0" shrinkToFit="0" vertical="center" wrapText="1"/>
    </xf>
    <xf borderId="52" fillId="3" fontId="1" numFmtId="0" xfId="0" applyAlignment="1" applyBorder="1" applyFont="1">
      <alignment horizontal="center" readingOrder="0" shrinkToFit="0" vertical="center" wrapText="1"/>
    </xf>
    <xf borderId="15" fillId="5" fontId="6" numFmtId="0" xfId="0" applyAlignment="1" applyBorder="1" applyFont="1">
      <alignment horizontal="center" readingOrder="0" shrinkToFit="0" vertical="center" wrapText="1"/>
    </xf>
    <xf borderId="51" fillId="3" fontId="3" numFmtId="0" xfId="0" applyAlignment="1" applyBorder="1" applyFont="1">
      <alignment horizontal="center" readingOrder="0" shrinkToFit="0" vertical="center" wrapText="1"/>
    </xf>
    <xf borderId="3" fillId="3" fontId="3" numFmtId="0" xfId="0" applyAlignment="1" applyBorder="1" applyFont="1">
      <alignment horizontal="center" readingOrder="0" shrinkToFit="0" vertical="center" wrapText="1"/>
    </xf>
    <xf borderId="8" fillId="3" fontId="3" numFmtId="0" xfId="0" applyAlignment="1" applyBorder="1" applyFont="1">
      <alignment horizontal="center" readingOrder="0" shrinkToFit="0" vertical="center" wrapText="1"/>
    </xf>
    <xf borderId="8" fillId="2" fontId="3" numFmtId="0" xfId="0" applyAlignment="1" applyBorder="1" applyFont="1">
      <alignment horizontal="center" shrinkToFit="0" vertical="center" wrapText="1"/>
    </xf>
    <xf borderId="51" fillId="2" fontId="3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11" fillId="3" fontId="6" numFmtId="0" xfId="0" applyAlignment="1" applyBorder="1" applyFont="1">
      <alignment horizontal="center" readingOrder="0" shrinkToFit="0" vertical="center" wrapText="1"/>
    </xf>
    <xf borderId="11" fillId="2" fontId="3" numFmtId="2" xfId="0" applyAlignment="1" applyBorder="1" applyFont="1" applyNumberFormat="1">
      <alignment horizontal="center" shrinkToFit="0" vertical="center" wrapText="1"/>
    </xf>
    <xf borderId="6" fillId="2" fontId="3" numFmtId="2" xfId="0" applyAlignment="1" applyBorder="1" applyFont="1" applyNumberFormat="1">
      <alignment horizontal="center" shrinkToFit="0" vertical="center" wrapText="1"/>
    </xf>
    <xf borderId="11" fillId="3" fontId="3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26" fillId="3" fontId="3" numFmtId="0" xfId="0" applyAlignment="1" applyBorder="1" applyFont="1">
      <alignment horizontal="center" readingOrder="0" shrinkToFit="0" vertical="center" wrapText="1"/>
    </xf>
    <xf borderId="8" fillId="2" fontId="1" numFmtId="0" xfId="0" applyAlignment="1" applyBorder="1" applyFont="1">
      <alignment horizontal="center" readingOrder="0" shrinkToFit="0" vertical="center" wrapText="1"/>
    </xf>
    <xf borderId="9" fillId="2" fontId="1" numFmtId="0" xfId="0" applyAlignment="1" applyBorder="1" applyFont="1">
      <alignment horizontal="center" readingOrder="0" shrinkToFit="0" vertical="center" wrapText="1"/>
    </xf>
    <xf borderId="53" fillId="3" fontId="1" numFmtId="0" xfId="0" applyAlignment="1" applyBorder="1" applyFont="1">
      <alignment horizontal="center" readingOrder="0" shrinkToFit="0" vertical="center" wrapText="1"/>
    </xf>
    <xf borderId="54" fillId="0" fontId="2" numFmtId="0" xfId="0" applyBorder="1" applyFont="1"/>
    <xf borderId="55" fillId="0" fontId="2" numFmtId="0" xfId="0" applyBorder="1" applyFont="1"/>
    <xf borderId="12" fillId="2" fontId="3" numFmtId="0" xfId="0" applyAlignment="1" applyBorder="1" applyFont="1">
      <alignment horizontal="center" readingOrder="0" shrinkToFit="0" vertical="center" wrapText="1"/>
    </xf>
    <xf borderId="56" fillId="0" fontId="2" numFmtId="0" xfId="0" applyBorder="1" applyFont="1"/>
    <xf borderId="18" fillId="0" fontId="2" numFmtId="0" xfId="0" applyBorder="1" applyFont="1"/>
    <xf borderId="8" fillId="6" fontId="3" numFmtId="0" xfId="0" applyAlignment="1" applyBorder="1" applyFont="1">
      <alignment horizontal="center" shrinkToFit="0" vertical="center" wrapText="1"/>
    </xf>
    <xf borderId="8" fillId="5" fontId="3" numFmtId="0" xfId="0" applyAlignment="1" applyBorder="1" applyFont="1">
      <alignment horizontal="center" shrinkToFit="0" vertical="center" wrapText="1"/>
    </xf>
    <xf borderId="9" fillId="6" fontId="3" numFmtId="0" xfId="0" applyAlignment="1" applyBorder="1" applyFont="1">
      <alignment horizontal="center" shrinkToFit="0" vertical="center" wrapText="1"/>
    </xf>
    <xf borderId="15" fillId="3" fontId="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51" fillId="2" fontId="1" numFmtId="0" xfId="0" applyAlignment="1" applyBorder="1" applyFont="1">
      <alignment horizontal="center" readingOrder="0" shrinkToFit="0" vertical="center" wrapText="1"/>
    </xf>
    <xf borderId="11" fillId="10" fontId="1" numFmtId="0" xfId="0" applyAlignment="1" applyBorder="1" applyFill="1" applyFont="1">
      <alignment horizontal="center" shrinkToFit="0" vertical="center" wrapText="1"/>
    </xf>
    <xf borderId="6" fillId="10" fontId="1" numFmtId="0" xfId="0" applyAlignment="1" applyBorder="1" applyFont="1">
      <alignment horizontal="center" shrinkToFit="0" vertical="center" wrapText="1"/>
    </xf>
    <xf borderId="11" fillId="6" fontId="3" numFmtId="0" xfId="0" applyAlignment="1" applyBorder="1" applyFont="1">
      <alignment horizontal="center" shrinkToFit="0" vertical="center" wrapText="1"/>
    </xf>
    <xf borderId="6" fillId="6" fontId="3" numFmtId="0" xfId="0" applyAlignment="1" applyBorder="1" applyFont="1">
      <alignment horizontal="center" shrinkToFit="0" vertical="center" wrapText="1"/>
    </xf>
    <xf borderId="6" fillId="6" fontId="3" numFmtId="0" xfId="0" applyAlignment="1" applyBorder="1" applyFont="1">
      <alignment horizontal="center" readingOrder="0" shrinkToFit="0" vertical="center" wrapText="1"/>
    </xf>
    <xf borderId="11" fillId="10" fontId="1" numFmtId="0" xfId="0" applyAlignment="1" applyBorder="1" applyFont="1">
      <alignment horizontal="center" readingOrder="0" shrinkToFit="0" vertical="center" wrapText="1"/>
    </xf>
    <xf borderId="11" fillId="6" fontId="3" numFmtId="0" xfId="0" applyAlignment="1" applyBorder="1" applyFont="1">
      <alignment horizontal="center" readingOrder="0" shrinkToFit="0" vertical="center" wrapText="1"/>
    </xf>
    <xf borderId="12" fillId="2" fontId="5" numFmtId="0" xfId="0" applyAlignment="1" applyBorder="1" applyFont="1">
      <alignment horizontal="center" readingOrder="0" shrinkToFit="0" vertical="center" wrapText="1"/>
    </xf>
    <xf borderId="11" fillId="10" fontId="5" numFmtId="0" xfId="0" applyAlignment="1" applyBorder="1" applyFont="1">
      <alignment horizontal="center" readingOrder="0" shrinkToFit="0" vertical="center" wrapText="1"/>
    </xf>
    <xf borderId="11" fillId="6" fontId="6" numFmtId="0" xfId="0" applyAlignment="1" applyBorder="1" applyFont="1">
      <alignment horizontal="center" readingOrder="0" shrinkToFit="0" vertical="center" wrapText="1"/>
    </xf>
    <xf borderId="11" fillId="6" fontId="6" numFmtId="0" xfId="0" applyAlignment="1" applyBorder="1" applyFont="1">
      <alignment horizontal="center" shrinkToFit="0" vertical="center" wrapText="1"/>
    </xf>
    <xf borderId="6" fillId="6" fontId="6" numFmtId="0" xfId="0" applyAlignment="1" applyBorder="1" applyFont="1">
      <alignment horizontal="center" readingOrder="0" shrinkToFit="0" vertical="center" wrapText="1"/>
    </xf>
    <xf borderId="7" fillId="6" fontId="3" numFmtId="0" xfId="0" applyAlignment="1" applyBorder="1" applyFont="1">
      <alignment horizontal="center" shrinkToFit="0" vertical="center" wrapText="1"/>
    </xf>
    <xf borderId="57" fillId="6" fontId="5" numFmtId="0" xfId="0" applyAlignment="1" applyBorder="1" applyFont="1">
      <alignment horizontal="center" readingOrder="0" shrinkToFit="0" vertical="center" wrapText="1"/>
    </xf>
    <xf borderId="57" fillId="6" fontId="1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8" fillId="2" fontId="5" numFmtId="0" xfId="0" applyAlignment="1" applyBorder="1" applyFont="1">
      <alignment horizontal="center" readingOrder="0" shrinkToFit="0" vertical="center" wrapText="1"/>
    </xf>
    <xf borderId="58" fillId="2" fontId="3" numFmtId="0" xfId="0" applyAlignment="1" applyBorder="1" applyFont="1">
      <alignment horizontal="center" shrinkToFit="0" vertical="center" wrapText="1"/>
    </xf>
    <xf borderId="58" fillId="2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51" fillId="0" fontId="3" numFmtId="0" xfId="0" applyAlignment="1" applyBorder="1" applyFont="1">
      <alignment horizontal="center" shrinkToFit="0" vertical="center" wrapText="1"/>
    </xf>
    <xf borderId="51" fillId="3" fontId="3" numFmtId="0" xfId="0" applyAlignment="1" applyBorder="1" applyFont="1">
      <alignment horizontal="center" shrinkToFit="0" vertical="center" wrapText="1"/>
    </xf>
    <xf borderId="51" fillId="0" fontId="3" numFmtId="0" xfId="0" applyAlignment="1" applyBorder="1" applyFont="1">
      <alignment horizontal="center" shrinkToFit="0" vertical="center" wrapText="1"/>
    </xf>
    <xf borderId="51" fillId="0" fontId="12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readingOrder="0" shrinkToFit="0" vertical="center" wrapText="1"/>
    </xf>
    <xf borderId="6" fillId="0" fontId="14" numFmtId="0" xfId="0" applyAlignment="1" applyBorder="1" applyFont="1">
      <alignment horizontal="center" readingOrder="0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horizontal="center" readingOrder="0" shrinkToFit="0" vertical="center" wrapText="1"/>
    </xf>
    <xf borderId="6" fillId="0" fontId="15" numFmtId="0" xfId="0" applyAlignment="1" applyBorder="1" applyFont="1">
      <alignment horizontal="center" readingOrder="0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6" fillId="3" fontId="11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shrinkToFit="0" vertical="center" wrapText="1"/>
    </xf>
    <xf borderId="11" fillId="11" fontId="11" numFmtId="0" xfId="0" applyAlignment="1" applyBorder="1" applyFill="1" applyFont="1">
      <alignment horizontal="center" shrinkToFit="0" vertical="center" wrapText="1"/>
    </xf>
    <xf borderId="6" fillId="11" fontId="11" numFmtId="0" xfId="0" applyAlignment="1" applyBorder="1" applyFont="1">
      <alignment horizontal="center" shrinkToFit="0" vertical="center" wrapText="1"/>
    </xf>
    <xf borderId="6" fillId="11" fontId="11" numFmtId="0" xfId="0" applyAlignment="1" applyBorder="1" applyFont="1">
      <alignment horizontal="center" shrinkToFit="0" vertical="center" wrapText="1"/>
    </xf>
    <xf borderId="6" fillId="11" fontId="17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televisiondigital.mineco.gob.es/2DD-5G/Paginas/Que-tengo-que-hacer.aspx" TargetMode="External"/><Relationship Id="rId2" Type="http://schemas.openxmlformats.org/officeDocument/2006/relationships/hyperlink" Target="https://www.antenadigital.es/tdt/malaga.php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eleves.com/es/4058-405802-carga-terminal-75-ohm-tipo-f-sin-bloqueo-de-dc.html" TargetMode="External"/><Relationship Id="rId22" Type="http://schemas.openxmlformats.org/officeDocument/2006/relationships/hyperlink" Target="https://www.televes.com/es/2329-conector-sc-apc.html" TargetMode="External"/><Relationship Id="rId21" Type="http://schemas.openxmlformats.org/officeDocument/2006/relationships/hyperlink" Target="https://www.televes.com/es/catalog/product/view/id/3697/s/2319xx_FK2_interior-Cable%20FK2%20monomodo%202%20fibras,%20Euroclase%20Dca%20y%20LSFH,%20de%20interior/category/1174/" TargetMode="External"/><Relationship Id="rId24" Type="http://schemas.openxmlformats.org/officeDocument/2006/relationships/hyperlink" Target="https://www.televes.com/es/233232-roseta-terminal-de-fibra-optica-para-adaptacion-de-tomas-en-superficie.html" TargetMode="External"/><Relationship Id="rId23" Type="http://schemas.openxmlformats.org/officeDocument/2006/relationships/hyperlink" Target="https://www.televes.com/es/catalog/product/view/id/375/s/231310-Registro%20secundario%20final%20de%20fibra%20%C3%B3ptica/category/1218/" TargetMode="External"/><Relationship Id="rId1" Type="http://schemas.openxmlformats.org/officeDocument/2006/relationships/hyperlink" Target="https://www.televes.com/es/1201-antena-de-fm-recepcion-de-radio.html" TargetMode="External"/><Relationship Id="rId2" Type="http://schemas.openxmlformats.org/officeDocument/2006/relationships/hyperlink" Target="https://www.televes.com/es/1050xx-antenadab-antena-de-dab-biii.html" TargetMode="External"/><Relationship Id="rId3" Type="http://schemas.openxmlformats.org/officeDocument/2006/relationships/hyperlink" Target="https://www.televes.com/es/catalog/product/view/id/3679/s/14992x_DATBOSS_700-Antena%20DAT%20BOSS%20UHF,%202%C2%BA%20Dividendo%20Digital%20(LTE700)/category/6/" TargetMode="External"/><Relationship Id="rId4" Type="http://schemas.openxmlformats.org/officeDocument/2006/relationships/hyperlink" Target="https://www.televes.com/es/7930xx-isd630-parabola-de-aluminio-isd-630-63x57cm.html" TargetMode="External"/><Relationship Id="rId9" Type="http://schemas.openxmlformats.org/officeDocument/2006/relationships/hyperlink" Target="https://www.televes.com/es/catalog/product/view/id/61/s/549812-Fuente%20de%20alimentaci%C3%B3n%20T12%2024V%20-%202,5A%20(60W)/category/236/" TargetMode="External"/><Relationship Id="rId26" Type="http://schemas.openxmlformats.org/officeDocument/2006/relationships/hyperlink" Target="https://eu.aqara.com/es-eu/products/aqara-motion-sensor-p1" TargetMode="External"/><Relationship Id="rId25" Type="http://schemas.openxmlformats.org/officeDocument/2006/relationships/hyperlink" Target="https://eu.aqara.com/es-eu/products/aqara-presence-sensor-fp2" TargetMode="External"/><Relationship Id="rId27" Type="http://schemas.openxmlformats.org/officeDocument/2006/relationships/drawing" Target="../drawings/drawing7.xml"/><Relationship Id="rId5" Type="http://schemas.openxmlformats.org/officeDocument/2006/relationships/hyperlink" Target="https://www.televes.com/es/lnb-single-lnb-offset-single-universal-1-salida-ha-va-hb-vb.html" TargetMode="External"/><Relationship Id="rId6" Type="http://schemas.openxmlformats.org/officeDocument/2006/relationships/hyperlink" Target="https://www.televes.com/es/509012-amplificador-monocanal-t12-fm-dab-88-108-174-230mhz.html" TargetMode="External"/><Relationship Id="rId7" Type="http://schemas.openxmlformats.org/officeDocument/2006/relationships/hyperlink" Target="https://www.televes.com/es/509012-amplificador-monocanal-t12-fm-dab-88-108-174-230mhz.html" TargetMode="External"/><Relationship Id="rId8" Type="http://schemas.openxmlformats.org/officeDocument/2006/relationships/hyperlink" Target="https://www.televes.com/es/509812-amplificador-monocanal-selectivo-t12-uhf-tdt-470-862mhz.html" TargetMode="External"/><Relationship Id="rId11" Type="http://schemas.openxmlformats.org/officeDocument/2006/relationships/hyperlink" Target="https://www.televes.com/es/mezclador-smatv-mezclador-de-se-al-terrestre-y-satelite-2-entradas-matv-fi.html" TargetMode="External"/><Relationship Id="rId10" Type="http://schemas.openxmlformats.org/officeDocument/2006/relationships/hyperlink" Target="https://www.televes.com/es/508012-amplificador-t12-fi-sat-950-2150mhz.html" TargetMode="External"/><Relationship Id="rId13" Type="http://schemas.openxmlformats.org/officeDocument/2006/relationships/hyperlink" Target="https://www.televes.com/es/519323-derivador-f-2d-5-2400mhz-16db.html" TargetMode="External"/><Relationship Id="rId12" Type="http://schemas.openxmlformats.org/officeDocument/2006/relationships/hyperlink" Target="https://www.televes.com/es/519322-derivador-f-2d-5-2400mhz-12db.html" TargetMode="External"/><Relationship Id="rId15" Type="http://schemas.openxmlformats.org/officeDocument/2006/relationships/hyperlink" Target="https://www.televes.com/es/catalog/product/view/id/3491/s/519325-Derivador%20F%202D%205...2400MHz%2024dB/category/384/" TargetMode="External"/><Relationship Id="rId14" Type="http://schemas.openxmlformats.org/officeDocument/2006/relationships/hyperlink" Target="https://www.televes.com/es/519324-derivador-f-2d-5-2400mhz-20db.html" TargetMode="External"/><Relationship Id="rId17" Type="http://schemas.openxmlformats.org/officeDocument/2006/relationships/hyperlink" Target="https://www.televes.com/es/519535-repartidor-con-pau-f-5d-5-2400mhz-11-10db.html" TargetMode="External"/><Relationship Id="rId16" Type="http://schemas.openxmlformats.org/officeDocument/2006/relationships/hyperlink" Target="https://www.televes.com/es/453003-repartidor-f-2d-5-1220mhz-4db-docsis-3-1.html" TargetMode="External"/><Relationship Id="rId19" Type="http://schemas.openxmlformats.org/officeDocument/2006/relationships/hyperlink" Target="https://www.televes.com/es/52x6-4301-toma-terminal-toma-terminal-separadora-2-conectores-fm-tv-sat.html" TargetMode="External"/><Relationship Id="rId18" Type="http://schemas.openxmlformats.org/officeDocument/2006/relationships/hyperlink" Target="https://www.televes.com/es/2126xx-coaxial-t100-eca-16vatc-cable-coaxial-t100-16vatc-euroclase-eca-y-blindaje-clase-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9.29"/>
    <col customWidth="1" min="3" max="3" width="25.14"/>
    <col customWidth="1" min="4" max="4" width="20.29"/>
    <col customWidth="1" min="5" max="24" width="10.0"/>
  </cols>
  <sheetData>
    <row r="1" ht="18.75" customHeight="1">
      <c r="A1" s="1" t="s">
        <v>0</v>
      </c>
      <c r="B1" s="2"/>
      <c r="C1" s="2"/>
      <c r="D1" s="2"/>
      <c r="E1" s="3"/>
    </row>
    <row r="2" ht="63.75" customHeight="1">
      <c r="A2" s="4"/>
      <c r="B2" s="5"/>
      <c r="C2" s="5"/>
      <c r="D2" s="5"/>
      <c r="E2" s="6"/>
    </row>
    <row r="3">
      <c r="A3" s="7"/>
      <c r="B3" s="7"/>
      <c r="C3" s="7"/>
      <c r="D3" s="7"/>
      <c r="E3" s="7"/>
      <c r="F3" s="8"/>
    </row>
    <row r="4" ht="15.75" customHeight="1">
      <c r="A4" s="7"/>
      <c r="B4" s="9" t="s">
        <v>1</v>
      </c>
      <c r="D4" s="7"/>
      <c r="E4" s="9" t="s">
        <v>2</v>
      </c>
      <c r="F4" s="8"/>
    </row>
    <row r="5" ht="16.5" customHeight="1">
      <c r="A5" s="7" t="s">
        <v>3</v>
      </c>
      <c r="B5" s="9" t="s">
        <v>4</v>
      </c>
      <c r="C5" s="9" t="s">
        <v>5</v>
      </c>
      <c r="D5" s="7"/>
      <c r="E5" s="9" t="s">
        <v>6</v>
      </c>
      <c r="F5" s="8"/>
    </row>
    <row r="6" ht="15.75" customHeight="1">
      <c r="A6" s="10" t="s">
        <v>7</v>
      </c>
      <c r="B6" s="11">
        <v>7.97</v>
      </c>
      <c r="C6" s="12">
        <v>2.05</v>
      </c>
      <c r="D6" s="7"/>
      <c r="E6" s="13">
        <v>3.0</v>
      </c>
      <c r="F6" s="8"/>
    </row>
    <row r="7" ht="15.75" customHeight="1">
      <c r="A7" s="10" t="s">
        <v>8</v>
      </c>
      <c r="B7" s="11">
        <v>10.29</v>
      </c>
      <c r="C7" s="14"/>
      <c r="D7" s="7"/>
      <c r="E7" s="7"/>
      <c r="F7" s="8"/>
    </row>
    <row r="8" ht="15.75" customHeight="1">
      <c r="A8" s="10" t="s">
        <v>9</v>
      </c>
      <c r="B8" s="11">
        <v>10.95</v>
      </c>
      <c r="C8" s="14"/>
      <c r="D8" s="7"/>
      <c r="E8" s="7"/>
      <c r="F8" s="8"/>
    </row>
    <row r="9" ht="15.75" customHeight="1">
      <c r="A9" s="10" t="s">
        <v>10</v>
      </c>
      <c r="B9" s="15">
        <v>8.1</v>
      </c>
      <c r="C9" s="14"/>
      <c r="D9" s="7"/>
      <c r="E9" s="7"/>
      <c r="F9" s="8"/>
    </row>
    <row r="10" ht="15.75" customHeight="1">
      <c r="A10" s="10" t="s">
        <v>11</v>
      </c>
      <c r="B10" s="15">
        <v>4.37</v>
      </c>
      <c r="C10" s="16"/>
      <c r="D10" s="17"/>
      <c r="E10" s="17"/>
      <c r="F10" s="8"/>
    </row>
    <row r="11" ht="15.75" customHeight="1">
      <c r="A11" s="10" t="s">
        <v>12</v>
      </c>
      <c r="B11" s="18">
        <v>2.67</v>
      </c>
      <c r="C11" s="12">
        <v>6.25</v>
      </c>
      <c r="D11" s="7"/>
      <c r="E11" s="7"/>
      <c r="F11" s="8"/>
    </row>
    <row r="12" ht="15.75" customHeight="1">
      <c r="A12" s="10" t="s">
        <v>13</v>
      </c>
      <c r="B12" s="18">
        <v>6.37</v>
      </c>
      <c r="C12" s="14"/>
      <c r="D12" s="7"/>
      <c r="E12" s="7"/>
      <c r="F12" s="8"/>
    </row>
    <row r="13" ht="15.75" customHeight="1">
      <c r="A13" s="10" t="s">
        <v>14</v>
      </c>
      <c r="B13" s="18">
        <v>5.45</v>
      </c>
      <c r="C13" s="14"/>
      <c r="D13" s="7"/>
      <c r="E13" s="7"/>
      <c r="F13" s="8"/>
    </row>
    <row r="14" ht="15.75" customHeight="1">
      <c r="A14" s="10" t="s">
        <v>15</v>
      </c>
      <c r="B14" s="18">
        <v>0.85</v>
      </c>
      <c r="C14" s="14"/>
      <c r="D14" s="7"/>
      <c r="E14" s="7"/>
      <c r="F14" s="8"/>
    </row>
    <row r="15" ht="15.75" customHeight="1">
      <c r="A15" s="10" t="s">
        <v>16</v>
      </c>
      <c r="B15" s="18">
        <v>1.7</v>
      </c>
      <c r="C15" s="16"/>
      <c r="D15" s="7"/>
      <c r="E15" s="7"/>
      <c r="F15" s="8"/>
    </row>
    <row r="16" ht="15.75" customHeight="1">
      <c r="A16" s="19" t="s">
        <v>17</v>
      </c>
      <c r="B16" s="18">
        <v>2.67</v>
      </c>
      <c r="C16" s="12">
        <v>3.49</v>
      </c>
      <c r="D16" s="7"/>
      <c r="E16" s="7"/>
      <c r="F16" s="8"/>
    </row>
    <row r="17" ht="15.75" customHeight="1">
      <c r="A17" s="19" t="s">
        <v>18</v>
      </c>
      <c r="B17" s="18">
        <v>6.37</v>
      </c>
      <c r="C17" s="14"/>
      <c r="D17" s="7"/>
      <c r="E17" s="7"/>
      <c r="F17" s="8"/>
    </row>
    <row r="18" ht="15.75" customHeight="1">
      <c r="A18" s="19" t="s">
        <v>19</v>
      </c>
      <c r="B18" s="18">
        <v>5.45</v>
      </c>
      <c r="C18" s="14"/>
      <c r="D18" s="7"/>
      <c r="E18" s="7"/>
      <c r="F18" s="8"/>
    </row>
    <row r="19" ht="15.75" customHeight="1">
      <c r="A19" s="19" t="s">
        <v>20</v>
      </c>
      <c r="B19" s="18">
        <v>0.85</v>
      </c>
      <c r="C19" s="14"/>
      <c r="D19" s="7"/>
      <c r="E19" s="7"/>
      <c r="F19" s="8"/>
    </row>
    <row r="20" ht="15.75" customHeight="1">
      <c r="A20" s="19" t="s">
        <v>21</v>
      </c>
      <c r="B20" s="18">
        <v>1.7</v>
      </c>
      <c r="C20" s="16"/>
      <c r="D20" s="7"/>
      <c r="E20" s="7"/>
      <c r="F20" s="8"/>
    </row>
    <row r="21" ht="15.75" customHeight="1">
      <c r="A21" s="10" t="s">
        <v>22</v>
      </c>
      <c r="B21" s="18">
        <v>2.67</v>
      </c>
      <c r="C21" s="12">
        <v>6.25</v>
      </c>
      <c r="D21" s="7"/>
      <c r="E21" s="7"/>
      <c r="F21" s="8"/>
    </row>
    <row r="22" ht="15.75" customHeight="1">
      <c r="A22" s="10" t="s">
        <v>23</v>
      </c>
      <c r="B22" s="18">
        <v>6.37</v>
      </c>
      <c r="C22" s="14"/>
      <c r="D22" s="7"/>
      <c r="E22" s="7"/>
      <c r="F22" s="8"/>
    </row>
    <row r="23" ht="15.75" customHeight="1">
      <c r="A23" s="10" t="s">
        <v>24</v>
      </c>
      <c r="B23" s="18">
        <v>5.45</v>
      </c>
      <c r="C23" s="14"/>
      <c r="D23" s="7"/>
      <c r="E23" s="7"/>
      <c r="F23" s="8"/>
    </row>
    <row r="24" ht="15.75" customHeight="1">
      <c r="A24" s="10" t="s">
        <v>25</v>
      </c>
      <c r="B24" s="18">
        <v>0.85</v>
      </c>
      <c r="C24" s="14"/>
      <c r="D24" s="7"/>
      <c r="E24" s="7"/>
      <c r="F24" s="8"/>
    </row>
    <row r="25" ht="15.75" customHeight="1">
      <c r="A25" s="10" t="s">
        <v>26</v>
      </c>
      <c r="B25" s="18">
        <v>1.7</v>
      </c>
      <c r="C25" s="16"/>
      <c r="D25" s="7"/>
      <c r="E25" s="7"/>
      <c r="F25" s="8"/>
    </row>
    <row r="26" ht="15.75" customHeight="1">
      <c r="A26" s="19" t="s">
        <v>27</v>
      </c>
      <c r="B26" s="18">
        <v>2.67</v>
      </c>
      <c r="C26" s="12">
        <v>3.49</v>
      </c>
      <c r="D26" s="7"/>
      <c r="E26" s="7"/>
      <c r="F26" s="8"/>
    </row>
    <row r="27" ht="15.75" customHeight="1">
      <c r="A27" s="19" t="s">
        <v>28</v>
      </c>
      <c r="B27" s="18">
        <v>6.37</v>
      </c>
      <c r="C27" s="14"/>
      <c r="D27" s="7"/>
      <c r="E27" s="7"/>
      <c r="F27" s="8"/>
    </row>
    <row r="28" ht="15.75" customHeight="1">
      <c r="A28" s="19" t="s">
        <v>29</v>
      </c>
      <c r="B28" s="18">
        <v>5.45</v>
      </c>
      <c r="C28" s="14"/>
      <c r="D28" s="7"/>
      <c r="E28" s="7"/>
      <c r="F28" s="8"/>
    </row>
    <row r="29" ht="15.75" customHeight="1">
      <c r="A29" s="19" t="s">
        <v>30</v>
      </c>
      <c r="B29" s="18">
        <v>0.85</v>
      </c>
      <c r="C29" s="14"/>
      <c r="D29" s="7"/>
      <c r="E29" s="7"/>
      <c r="F29" s="8"/>
    </row>
    <row r="30" ht="15.75" customHeight="1">
      <c r="A30" s="19" t="s">
        <v>31</v>
      </c>
      <c r="B30" s="18">
        <v>1.7</v>
      </c>
      <c r="C30" s="16"/>
      <c r="D30" s="7"/>
      <c r="E30" s="7"/>
      <c r="F30" s="8"/>
    </row>
    <row r="31" ht="15.75" customHeight="1">
      <c r="A31" s="19" t="s">
        <v>32</v>
      </c>
      <c r="B31" s="18">
        <v>2.67</v>
      </c>
      <c r="C31" s="12">
        <v>6.25</v>
      </c>
      <c r="D31" s="7"/>
      <c r="E31" s="7"/>
      <c r="F31" s="8"/>
    </row>
    <row r="32" ht="15.75" customHeight="1">
      <c r="A32" s="19" t="s">
        <v>33</v>
      </c>
      <c r="B32" s="18">
        <v>6.37</v>
      </c>
      <c r="C32" s="14"/>
      <c r="D32" s="7"/>
      <c r="E32" s="7"/>
      <c r="F32" s="8"/>
    </row>
    <row r="33" ht="15.75" customHeight="1">
      <c r="A33" s="19" t="s">
        <v>34</v>
      </c>
      <c r="B33" s="18">
        <v>5.45</v>
      </c>
      <c r="C33" s="14"/>
      <c r="D33" s="7"/>
      <c r="E33" s="7"/>
      <c r="F33" s="8"/>
    </row>
    <row r="34" ht="15.75" customHeight="1">
      <c r="A34" s="19" t="s">
        <v>35</v>
      </c>
      <c r="B34" s="18">
        <v>0.85</v>
      </c>
      <c r="C34" s="14"/>
      <c r="D34" s="7"/>
      <c r="E34" s="7"/>
      <c r="F34" s="8"/>
    </row>
    <row r="35" ht="15.75" customHeight="1">
      <c r="A35" s="19" t="s">
        <v>36</v>
      </c>
      <c r="B35" s="18">
        <v>1.7</v>
      </c>
      <c r="C35" s="16"/>
      <c r="D35" s="7"/>
      <c r="E35" s="7"/>
      <c r="F35" s="8"/>
    </row>
    <row r="36" ht="15.75" customHeight="1">
      <c r="A36" s="19" t="s">
        <v>37</v>
      </c>
      <c r="B36" s="18">
        <v>2.67</v>
      </c>
      <c r="C36" s="12">
        <v>3.49</v>
      </c>
      <c r="D36" s="7"/>
      <c r="E36" s="7"/>
      <c r="F36" s="8"/>
    </row>
    <row r="37" ht="15.75" customHeight="1">
      <c r="A37" s="19" t="s">
        <v>38</v>
      </c>
      <c r="B37" s="18">
        <v>6.37</v>
      </c>
      <c r="C37" s="14"/>
      <c r="D37" s="7"/>
      <c r="E37" s="7"/>
      <c r="F37" s="8"/>
    </row>
    <row r="38" ht="15.75" customHeight="1">
      <c r="A38" s="19" t="s">
        <v>39</v>
      </c>
      <c r="B38" s="18">
        <v>5.45</v>
      </c>
      <c r="C38" s="14"/>
      <c r="D38" s="7"/>
      <c r="E38" s="7"/>
      <c r="F38" s="8"/>
    </row>
    <row r="39" ht="15.75" customHeight="1">
      <c r="A39" s="19" t="s">
        <v>40</v>
      </c>
      <c r="B39" s="18">
        <v>0.85</v>
      </c>
      <c r="C39" s="14"/>
      <c r="D39" s="7"/>
      <c r="E39" s="7"/>
      <c r="F39" s="8"/>
    </row>
    <row r="40" ht="15.75" customHeight="1">
      <c r="A40" s="19" t="s">
        <v>41</v>
      </c>
      <c r="B40" s="18">
        <v>1.7</v>
      </c>
      <c r="C40" s="16"/>
      <c r="D40" s="7"/>
      <c r="E40" s="7"/>
      <c r="F40" s="8"/>
    </row>
    <row r="41" ht="15.75" customHeight="1">
      <c r="A41" s="10" t="s">
        <v>42</v>
      </c>
      <c r="B41" s="18">
        <v>2.67</v>
      </c>
      <c r="C41" s="12">
        <v>6.25</v>
      </c>
      <c r="D41" s="7"/>
      <c r="E41" s="7"/>
      <c r="F41" s="8"/>
    </row>
    <row r="42" ht="15.75" customHeight="1">
      <c r="A42" s="10" t="s">
        <v>43</v>
      </c>
      <c r="B42" s="18">
        <v>6.37</v>
      </c>
      <c r="C42" s="14"/>
      <c r="D42" s="7"/>
      <c r="E42" s="7"/>
      <c r="F42" s="8"/>
    </row>
    <row r="43" ht="15.75" customHeight="1">
      <c r="A43" s="10" t="s">
        <v>44</v>
      </c>
      <c r="B43" s="18">
        <v>5.45</v>
      </c>
      <c r="C43" s="14"/>
      <c r="D43" s="7"/>
      <c r="E43" s="7"/>
      <c r="F43" s="8"/>
    </row>
    <row r="44" ht="15.75" customHeight="1">
      <c r="A44" s="10" t="s">
        <v>45</v>
      </c>
      <c r="B44" s="18">
        <v>0.85</v>
      </c>
      <c r="C44" s="14"/>
      <c r="D44" s="7"/>
      <c r="E44" s="7"/>
      <c r="F44" s="8"/>
    </row>
    <row r="45" ht="15.75" customHeight="1">
      <c r="A45" s="10" t="s">
        <v>46</v>
      </c>
      <c r="B45" s="18">
        <v>1.7</v>
      </c>
      <c r="C45" s="16"/>
      <c r="D45" s="7"/>
      <c r="E45" s="7"/>
      <c r="F45" s="8"/>
    </row>
    <row r="46" ht="15.75" customHeight="1">
      <c r="A46" s="19" t="s">
        <v>47</v>
      </c>
      <c r="B46" s="18">
        <v>2.67</v>
      </c>
      <c r="C46" s="12">
        <v>3.49</v>
      </c>
      <c r="D46" s="7"/>
      <c r="E46" s="7"/>
      <c r="F46" s="8"/>
    </row>
    <row r="47" ht="15.75" customHeight="1">
      <c r="A47" s="19" t="s">
        <v>48</v>
      </c>
      <c r="B47" s="18">
        <v>6.37</v>
      </c>
      <c r="C47" s="14"/>
      <c r="D47" s="7"/>
      <c r="E47" s="7"/>
      <c r="F47" s="8"/>
    </row>
    <row r="48" ht="15.75" customHeight="1">
      <c r="A48" s="19" t="s">
        <v>49</v>
      </c>
      <c r="B48" s="18">
        <v>5.45</v>
      </c>
      <c r="C48" s="14"/>
      <c r="D48" s="7"/>
      <c r="E48" s="7"/>
      <c r="F48" s="8"/>
    </row>
    <row r="49" ht="15.75" customHeight="1">
      <c r="A49" s="19" t="s">
        <v>50</v>
      </c>
      <c r="B49" s="18">
        <v>0.85</v>
      </c>
      <c r="C49" s="14"/>
      <c r="D49" s="7"/>
      <c r="E49" s="7"/>
      <c r="F49" s="8"/>
    </row>
    <row r="50" ht="15.75" customHeight="1">
      <c r="A50" s="19" t="s">
        <v>51</v>
      </c>
      <c r="B50" s="18">
        <v>1.7</v>
      </c>
      <c r="C50" s="16"/>
      <c r="D50" s="7"/>
      <c r="E50" s="7"/>
      <c r="F50" s="8"/>
    </row>
    <row r="51" ht="15.75" customHeight="1">
      <c r="A51" s="10" t="s">
        <v>52</v>
      </c>
      <c r="B51" s="18">
        <v>2.67</v>
      </c>
      <c r="C51" s="12">
        <v>6.25</v>
      </c>
      <c r="D51" s="7"/>
      <c r="E51" s="7"/>
      <c r="F51" s="8"/>
      <c r="H51" s="20"/>
    </row>
    <row r="52" ht="15.75" customHeight="1">
      <c r="A52" s="10" t="s">
        <v>53</v>
      </c>
      <c r="B52" s="18">
        <v>6.37</v>
      </c>
      <c r="C52" s="14"/>
      <c r="D52" s="7"/>
      <c r="E52" s="7"/>
      <c r="F52" s="8"/>
      <c r="H52" s="20"/>
    </row>
    <row r="53" ht="15.75" customHeight="1">
      <c r="A53" s="10" t="s">
        <v>54</v>
      </c>
      <c r="B53" s="18">
        <v>5.45</v>
      </c>
      <c r="C53" s="14"/>
      <c r="D53" s="7"/>
      <c r="E53" s="7"/>
      <c r="F53" s="8"/>
    </row>
    <row r="54" ht="15.75" customHeight="1">
      <c r="A54" s="10" t="s">
        <v>55</v>
      </c>
      <c r="B54" s="18">
        <v>0.85</v>
      </c>
      <c r="C54" s="14"/>
      <c r="D54" s="7"/>
      <c r="E54" s="7"/>
      <c r="F54" s="8"/>
    </row>
    <row r="55" ht="15.75" customHeight="1">
      <c r="A55" s="10" t="s">
        <v>56</v>
      </c>
      <c r="B55" s="18">
        <v>1.7</v>
      </c>
      <c r="C55" s="16"/>
      <c r="D55" s="7"/>
      <c r="E55" s="7"/>
      <c r="F55" s="8"/>
    </row>
    <row r="56" ht="15.75" customHeight="1">
      <c r="A56" s="19" t="s">
        <v>57</v>
      </c>
      <c r="B56" s="18">
        <v>2.67</v>
      </c>
      <c r="C56" s="12">
        <v>3.49</v>
      </c>
      <c r="D56" s="7"/>
      <c r="E56" s="7"/>
      <c r="F56" s="8"/>
    </row>
    <row r="57" ht="15.75" customHeight="1">
      <c r="A57" s="19" t="s">
        <v>58</v>
      </c>
      <c r="B57" s="18">
        <v>6.37</v>
      </c>
      <c r="C57" s="14"/>
      <c r="D57" s="7"/>
      <c r="E57" s="7"/>
      <c r="F57" s="8"/>
    </row>
    <row r="58" ht="15.75" customHeight="1">
      <c r="A58" s="19" t="s">
        <v>59</v>
      </c>
      <c r="B58" s="18">
        <v>5.45</v>
      </c>
      <c r="C58" s="14"/>
      <c r="D58" s="7"/>
      <c r="E58" s="7"/>
      <c r="F58" s="8"/>
    </row>
    <row r="59" ht="15.75" customHeight="1">
      <c r="A59" s="19" t="s">
        <v>60</v>
      </c>
      <c r="B59" s="18">
        <v>0.85</v>
      </c>
      <c r="C59" s="14"/>
      <c r="D59" s="7"/>
      <c r="E59" s="7"/>
      <c r="F59" s="8"/>
    </row>
    <row r="60" ht="15.75" customHeight="1">
      <c r="A60" s="19" t="s">
        <v>61</v>
      </c>
      <c r="B60" s="18">
        <v>1.7</v>
      </c>
      <c r="C60" s="16"/>
      <c r="D60" s="7"/>
      <c r="E60" s="7"/>
      <c r="F60" s="8"/>
    </row>
    <row r="61" ht="15.75" customHeight="1">
      <c r="A61" s="10" t="s">
        <v>62</v>
      </c>
      <c r="B61" s="18">
        <v>2.67</v>
      </c>
      <c r="C61" s="12">
        <v>6.25</v>
      </c>
      <c r="D61" s="7"/>
      <c r="E61" s="7"/>
      <c r="F61" s="8"/>
    </row>
    <row r="62" ht="15.75" customHeight="1">
      <c r="A62" s="10" t="s">
        <v>63</v>
      </c>
      <c r="B62" s="18">
        <v>6.37</v>
      </c>
      <c r="C62" s="14"/>
      <c r="D62" s="7"/>
      <c r="E62" s="7"/>
      <c r="F62" s="8"/>
    </row>
    <row r="63" ht="15.75" customHeight="1">
      <c r="A63" s="10" t="s">
        <v>64</v>
      </c>
      <c r="B63" s="18">
        <v>5.45</v>
      </c>
      <c r="C63" s="14"/>
      <c r="D63" s="7"/>
      <c r="E63" s="7"/>
      <c r="F63" s="8"/>
    </row>
    <row r="64" ht="15.75" customHeight="1">
      <c r="A64" s="10" t="s">
        <v>65</v>
      </c>
      <c r="B64" s="18">
        <v>0.85</v>
      </c>
      <c r="C64" s="14"/>
      <c r="D64" s="7"/>
      <c r="E64" s="7"/>
      <c r="F64" s="8"/>
    </row>
    <row r="65" ht="15.75" customHeight="1">
      <c r="A65" s="10" t="s">
        <v>66</v>
      </c>
      <c r="B65" s="18">
        <v>1.7</v>
      </c>
      <c r="C65" s="16"/>
      <c r="D65" s="7"/>
      <c r="E65" s="7"/>
      <c r="F65" s="8"/>
    </row>
    <row r="66" ht="15.75" customHeight="1">
      <c r="A66" s="19" t="s">
        <v>67</v>
      </c>
      <c r="B66" s="18">
        <v>2.67</v>
      </c>
      <c r="C66" s="12">
        <v>3.49</v>
      </c>
      <c r="D66" s="7"/>
      <c r="E66" s="7"/>
      <c r="F66" s="8"/>
    </row>
    <row r="67" ht="15.75" customHeight="1">
      <c r="A67" s="19" t="s">
        <v>68</v>
      </c>
      <c r="B67" s="18">
        <v>6.37</v>
      </c>
      <c r="C67" s="14"/>
      <c r="D67" s="7"/>
      <c r="E67" s="7"/>
      <c r="F67" s="8"/>
    </row>
    <row r="68" ht="15.75" customHeight="1">
      <c r="A68" s="19" t="s">
        <v>69</v>
      </c>
      <c r="B68" s="18">
        <v>5.45</v>
      </c>
      <c r="C68" s="14"/>
      <c r="D68" s="7"/>
      <c r="E68" s="7"/>
      <c r="F68" s="8"/>
    </row>
    <row r="69" ht="15.75" customHeight="1">
      <c r="A69" s="19" t="s">
        <v>70</v>
      </c>
      <c r="B69" s="18">
        <v>0.85</v>
      </c>
      <c r="C69" s="14"/>
      <c r="D69" s="7"/>
      <c r="E69" s="7"/>
      <c r="F69" s="8"/>
    </row>
    <row r="70" ht="15.75" customHeight="1">
      <c r="A70" s="19" t="s">
        <v>71</v>
      </c>
      <c r="B70" s="18">
        <v>1.7</v>
      </c>
      <c r="C70" s="16"/>
      <c r="D70" s="7"/>
      <c r="E70" s="7"/>
      <c r="F70" s="8"/>
    </row>
    <row r="71" ht="15.75" customHeight="1">
      <c r="A71" s="10" t="s">
        <v>72</v>
      </c>
      <c r="B71" s="18">
        <v>2.67</v>
      </c>
      <c r="C71" s="12">
        <v>6.25</v>
      </c>
      <c r="D71" s="7"/>
      <c r="E71" s="7"/>
      <c r="F71" s="8"/>
    </row>
    <row r="72" ht="15.75" customHeight="1">
      <c r="A72" s="10" t="s">
        <v>73</v>
      </c>
      <c r="B72" s="18">
        <v>6.37</v>
      </c>
      <c r="C72" s="14"/>
      <c r="D72" s="7"/>
      <c r="E72" s="7"/>
      <c r="F72" s="8"/>
    </row>
    <row r="73" ht="15.75" customHeight="1">
      <c r="A73" s="10" t="s">
        <v>74</v>
      </c>
      <c r="B73" s="18">
        <v>5.45</v>
      </c>
      <c r="C73" s="14"/>
      <c r="D73" s="7"/>
      <c r="E73" s="7"/>
      <c r="F73" s="8"/>
    </row>
    <row r="74" ht="15.75" customHeight="1">
      <c r="A74" s="10" t="s">
        <v>75</v>
      </c>
      <c r="B74" s="18">
        <v>0.85</v>
      </c>
      <c r="C74" s="14"/>
      <c r="D74" s="7"/>
      <c r="E74" s="7"/>
      <c r="F74" s="8"/>
    </row>
    <row r="75" ht="15.75" customHeight="1">
      <c r="A75" s="10" t="s">
        <v>76</v>
      </c>
      <c r="B75" s="18">
        <v>1.7</v>
      </c>
      <c r="C75" s="16"/>
      <c r="D75" s="7"/>
      <c r="E75" s="7"/>
      <c r="F75" s="8"/>
    </row>
    <row r="76" ht="15.75" customHeight="1">
      <c r="A76" s="19" t="s">
        <v>77</v>
      </c>
      <c r="B76" s="18">
        <v>2.67</v>
      </c>
      <c r="C76" s="12">
        <v>3.49</v>
      </c>
      <c r="D76" s="7"/>
      <c r="E76" s="7"/>
      <c r="F76" s="8"/>
    </row>
    <row r="77" ht="15.75" customHeight="1">
      <c r="A77" s="19" t="s">
        <v>78</v>
      </c>
      <c r="B77" s="18">
        <v>6.37</v>
      </c>
      <c r="C77" s="14"/>
      <c r="D77" s="7"/>
      <c r="E77" s="7"/>
      <c r="F77" s="8"/>
    </row>
    <row r="78" ht="15.75" customHeight="1">
      <c r="A78" s="19" t="s">
        <v>79</v>
      </c>
      <c r="B78" s="18">
        <v>5.45</v>
      </c>
      <c r="C78" s="14"/>
      <c r="D78" s="7"/>
      <c r="E78" s="7"/>
      <c r="F78" s="8"/>
    </row>
    <row r="79" ht="15.75" customHeight="1">
      <c r="A79" s="19" t="s">
        <v>80</v>
      </c>
      <c r="B79" s="18">
        <v>0.85</v>
      </c>
      <c r="C79" s="14"/>
      <c r="D79" s="7"/>
      <c r="E79" s="7"/>
      <c r="F79" s="8"/>
    </row>
    <row r="80" ht="15.75" customHeight="1">
      <c r="A80" s="19" t="s">
        <v>81</v>
      </c>
      <c r="B80" s="18">
        <v>1.7</v>
      </c>
      <c r="C80" s="16"/>
      <c r="D80" s="7"/>
      <c r="E80" s="7"/>
      <c r="F80" s="8"/>
    </row>
    <row r="81" ht="15.75" customHeight="1">
      <c r="A81" s="10" t="s">
        <v>82</v>
      </c>
      <c r="B81" s="18">
        <v>2.36</v>
      </c>
      <c r="C81" s="12">
        <v>6.25</v>
      </c>
      <c r="D81" s="7"/>
      <c r="E81" s="7"/>
      <c r="F81" s="8"/>
    </row>
    <row r="82" ht="15.75" customHeight="1">
      <c r="A82" s="10" t="s">
        <v>83</v>
      </c>
      <c r="B82" s="18">
        <v>6.75</v>
      </c>
      <c r="C82" s="14"/>
      <c r="D82" s="7"/>
      <c r="E82" s="7"/>
      <c r="F82" s="8"/>
    </row>
    <row r="83" ht="15.75" customHeight="1">
      <c r="A83" s="10" t="s">
        <v>84</v>
      </c>
      <c r="B83" s="18">
        <v>5.45</v>
      </c>
      <c r="C83" s="14"/>
      <c r="D83" s="7"/>
      <c r="E83" s="7"/>
      <c r="F83" s="8"/>
    </row>
    <row r="84" ht="15.75" customHeight="1">
      <c r="A84" s="10" t="s">
        <v>85</v>
      </c>
      <c r="B84" s="18">
        <v>1.14</v>
      </c>
      <c r="C84" s="14"/>
      <c r="D84" s="7"/>
      <c r="E84" s="7"/>
      <c r="F84" s="8"/>
    </row>
    <row r="85" ht="15.75" customHeight="1">
      <c r="A85" s="10" t="s">
        <v>86</v>
      </c>
      <c r="B85" s="18">
        <v>2.12</v>
      </c>
      <c r="C85" s="16"/>
      <c r="D85" s="7"/>
      <c r="E85" s="7"/>
      <c r="F85" s="8"/>
    </row>
    <row r="86" ht="15.75" customHeight="1">
      <c r="A86" s="19" t="s">
        <v>87</v>
      </c>
      <c r="B86" s="18">
        <v>2.36</v>
      </c>
      <c r="C86" s="12">
        <v>3.49</v>
      </c>
      <c r="D86" s="7"/>
      <c r="E86" s="7"/>
      <c r="F86" s="8"/>
    </row>
    <row r="87" ht="15.75" customHeight="1">
      <c r="A87" s="19" t="s">
        <v>88</v>
      </c>
      <c r="B87" s="18">
        <v>6.75</v>
      </c>
      <c r="C87" s="14"/>
      <c r="D87" s="7"/>
      <c r="E87" s="7"/>
      <c r="F87" s="8"/>
    </row>
    <row r="88" ht="15.75" customHeight="1">
      <c r="A88" s="21" t="s">
        <v>89</v>
      </c>
      <c r="B88" s="18">
        <v>5.45</v>
      </c>
      <c r="C88" s="14"/>
      <c r="D88" s="7"/>
      <c r="E88" s="7"/>
      <c r="F88" s="8"/>
    </row>
    <row r="89" ht="15.75" customHeight="1">
      <c r="A89" s="19" t="s">
        <v>90</v>
      </c>
      <c r="B89" s="18">
        <v>1.14</v>
      </c>
      <c r="C89" s="14"/>
      <c r="D89" s="7"/>
      <c r="E89" s="7"/>
      <c r="F89" s="8"/>
    </row>
    <row r="90" ht="15.75" customHeight="1">
      <c r="A90" s="21" t="s">
        <v>91</v>
      </c>
      <c r="B90" s="18">
        <v>2.12</v>
      </c>
      <c r="C90" s="16"/>
      <c r="D90" s="7"/>
      <c r="E90" s="7"/>
      <c r="F90" s="8"/>
    </row>
    <row r="91" ht="15.75" customHeight="1">
      <c r="A91" s="7"/>
      <c r="B91" s="7"/>
      <c r="C91" s="7"/>
      <c r="D91" s="7"/>
      <c r="E91" s="7"/>
      <c r="F91" s="8"/>
    </row>
    <row r="92" ht="15.75" customHeight="1">
      <c r="A92" s="7"/>
      <c r="B92" s="7"/>
      <c r="C92" s="7"/>
      <c r="D92" s="7"/>
      <c r="E92" s="7"/>
      <c r="F92" s="8"/>
    </row>
    <row r="93" ht="15.75" customHeight="1">
      <c r="A93" s="7"/>
      <c r="B93" s="7"/>
      <c r="C93" s="7"/>
      <c r="D93" s="7"/>
      <c r="E93" s="7"/>
      <c r="F93" s="8"/>
    </row>
    <row r="94" ht="15.75" customHeight="1">
      <c r="A94" s="7"/>
      <c r="B94" s="7"/>
      <c r="C94" s="7"/>
      <c r="D94" s="7"/>
      <c r="E94" s="7"/>
      <c r="F94" s="8"/>
    </row>
    <row r="95" ht="15.75" customHeight="1">
      <c r="A95" s="22"/>
      <c r="B95" s="22"/>
      <c r="C95" s="22"/>
      <c r="D95" s="22"/>
      <c r="E95" s="22"/>
    </row>
    <row r="96" ht="15.75" customHeight="1">
      <c r="A96" s="22"/>
      <c r="B96" s="22"/>
      <c r="C96" s="22"/>
      <c r="D96" s="22"/>
      <c r="E96" s="22"/>
    </row>
    <row r="97" ht="15.75" customHeight="1">
      <c r="A97" s="22"/>
      <c r="B97" s="22"/>
      <c r="C97" s="22"/>
      <c r="D97" s="22"/>
      <c r="E97" s="22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9">
    <mergeCell ref="A1:E2"/>
    <mergeCell ref="B4:C4"/>
    <mergeCell ref="C6:C10"/>
    <mergeCell ref="C11:C15"/>
    <mergeCell ref="C16:C20"/>
    <mergeCell ref="C21:C25"/>
    <mergeCell ref="C26:C30"/>
    <mergeCell ref="C66:C70"/>
    <mergeCell ref="C71:C75"/>
    <mergeCell ref="C76:C80"/>
    <mergeCell ref="C81:C85"/>
    <mergeCell ref="C86:C90"/>
    <mergeCell ref="C31:C35"/>
    <mergeCell ref="C36:C40"/>
    <mergeCell ref="C41:C45"/>
    <mergeCell ref="C46:C50"/>
    <mergeCell ref="C51:C55"/>
    <mergeCell ref="C56:C60"/>
    <mergeCell ref="C61:C6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9.86"/>
    <col customWidth="1" min="3" max="3" width="13.71"/>
    <col customWidth="1" min="4" max="4" width="15.0"/>
    <col customWidth="1" min="5" max="5" width="14.86"/>
    <col customWidth="1" min="6" max="6" width="13.71"/>
    <col customWidth="1" min="7" max="7" width="16.43"/>
    <col customWidth="1" min="8" max="8" width="20.43"/>
    <col customWidth="1" min="9" max="9" width="16.29"/>
    <col customWidth="1" min="10" max="10" width="17.29"/>
    <col customWidth="1" min="11" max="11" width="17.0"/>
    <col customWidth="1" min="12" max="26" width="10.0"/>
  </cols>
  <sheetData>
    <row r="1">
      <c r="A1" s="23" t="s">
        <v>92</v>
      </c>
      <c r="B1" s="2"/>
      <c r="C1" s="2"/>
      <c r="D1" s="2"/>
      <c r="E1" s="2"/>
      <c r="F1" s="2"/>
      <c r="G1" s="2"/>
      <c r="H1" s="3"/>
      <c r="I1" s="24"/>
      <c r="J1" s="24"/>
      <c r="K1" s="24"/>
      <c r="L1" s="24"/>
      <c r="M1" s="24"/>
    </row>
    <row r="2">
      <c r="A2" s="25"/>
      <c r="H2" s="26"/>
      <c r="I2" s="24"/>
      <c r="J2" s="24"/>
      <c r="K2" s="24"/>
      <c r="L2" s="24"/>
      <c r="M2" s="24"/>
    </row>
    <row r="3">
      <c r="A3" s="25"/>
      <c r="H3" s="26"/>
      <c r="I3" s="24"/>
      <c r="J3" s="24"/>
      <c r="K3" s="24"/>
      <c r="L3" s="24"/>
      <c r="M3" s="24"/>
    </row>
    <row r="4" ht="15.75" customHeight="1">
      <c r="A4" s="4"/>
      <c r="B4" s="5"/>
      <c r="C4" s="5"/>
      <c r="D4" s="5"/>
      <c r="E4" s="5"/>
      <c r="F4" s="5"/>
      <c r="G4" s="5"/>
      <c r="H4" s="6"/>
      <c r="I4" s="24"/>
      <c r="J4" s="24"/>
      <c r="K4" s="24"/>
      <c r="L4" s="24"/>
      <c r="M4" s="24"/>
    </row>
    <row r="5" ht="18.75" customHeight="1">
      <c r="A5" s="27"/>
      <c r="B5" s="28"/>
      <c r="C5" s="29"/>
      <c r="D5" s="29"/>
      <c r="E5" s="29"/>
      <c r="F5" s="29"/>
      <c r="G5" s="29"/>
      <c r="H5" s="29"/>
      <c r="I5" s="29"/>
      <c r="J5" s="29"/>
      <c r="K5" s="29"/>
      <c r="L5" s="24"/>
      <c r="M5" s="24"/>
    </row>
    <row r="6" ht="18.75" customHeight="1">
      <c r="A6" s="27" t="s">
        <v>93</v>
      </c>
      <c r="C6" s="29"/>
      <c r="D6" s="30" t="s">
        <v>94</v>
      </c>
      <c r="E6" s="31"/>
      <c r="F6" s="31"/>
      <c r="G6" s="29"/>
      <c r="H6" s="30" t="s">
        <v>95</v>
      </c>
      <c r="I6" s="31"/>
      <c r="J6" s="31"/>
      <c r="K6" s="29"/>
      <c r="L6" s="24"/>
      <c r="M6" s="24"/>
    </row>
    <row r="7" ht="45.0" customHeight="1">
      <c r="A7" s="32" t="s">
        <v>96</v>
      </c>
      <c r="B7" s="32" t="s">
        <v>97</v>
      </c>
      <c r="C7" s="29"/>
      <c r="D7" s="33" t="s">
        <v>98</v>
      </c>
      <c r="E7" s="33" t="s">
        <v>99</v>
      </c>
      <c r="F7" s="34" t="s">
        <v>100</v>
      </c>
      <c r="G7" s="29"/>
      <c r="H7" s="32" t="s">
        <v>98</v>
      </c>
      <c r="I7" s="32" t="s">
        <v>99</v>
      </c>
      <c r="J7" s="32" t="s">
        <v>100</v>
      </c>
      <c r="K7" s="32" t="s">
        <v>101</v>
      </c>
      <c r="L7" s="24"/>
      <c r="M7" s="24"/>
    </row>
    <row r="8">
      <c r="A8" s="35">
        <v>15.0</v>
      </c>
      <c r="B8" s="36">
        <v>0.03</v>
      </c>
      <c r="C8" s="29"/>
      <c r="D8" s="33">
        <v>1.0</v>
      </c>
      <c r="E8" s="33">
        <v>2.0</v>
      </c>
      <c r="F8" s="37">
        <v>4.0</v>
      </c>
      <c r="G8" s="29"/>
      <c r="H8" s="33">
        <v>1.0</v>
      </c>
      <c r="I8" s="37">
        <v>5.0</v>
      </c>
      <c r="J8" s="37">
        <v>11.0</v>
      </c>
      <c r="K8" s="37">
        <v>10.0</v>
      </c>
      <c r="L8" s="24"/>
      <c r="M8" s="24"/>
    </row>
    <row r="9">
      <c r="A9" s="32">
        <v>100.0</v>
      </c>
      <c r="B9" s="36">
        <v>0.06</v>
      </c>
      <c r="C9" s="29"/>
      <c r="D9" s="29"/>
      <c r="E9" s="29"/>
      <c r="F9" s="29"/>
      <c r="G9" s="29"/>
      <c r="H9" s="29"/>
      <c r="I9" s="29"/>
      <c r="J9" s="29"/>
      <c r="K9" s="29"/>
      <c r="L9" s="24"/>
      <c r="M9" s="24"/>
    </row>
    <row r="10">
      <c r="A10" s="32">
        <v>200.0</v>
      </c>
      <c r="B10" s="36">
        <v>0.08</v>
      </c>
      <c r="C10" s="29"/>
      <c r="D10" s="29" t="s">
        <v>102</v>
      </c>
      <c r="E10" s="29"/>
      <c r="F10" s="29"/>
      <c r="G10" s="29"/>
      <c r="H10" s="29"/>
      <c r="I10" s="29"/>
      <c r="J10" s="29"/>
      <c r="K10" s="29"/>
      <c r="L10" s="24"/>
      <c r="M10" s="24"/>
    </row>
    <row r="11">
      <c r="A11" s="35">
        <v>470.0</v>
      </c>
      <c r="B11" s="36">
        <v>0.14</v>
      </c>
      <c r="C11" s="29"/>
      <c r="D11" s="29"/>
      <c r="E11" s="29"/>
      <c r="F11" s="29"/>
      <c r="G11" s="29"/>
      <c r="H11" s="29"/>
      <c r="I11" s="29"/>
      <c r="J11" s="29"/>
      <c r="K11" s="29"/>
      <c r="L11" s="24"/>
      <c r="M11" s="24"/>
    </row>
    <row r="12">
      <c r="A12" s="35">
        <v>694.0</v>
      </c>
      <c r="B12" s="36">
        <v>0.15</v>
      </c>
      <c r="C12" s="29"/>
      <c r="D12" s="29"/>
      <c r="E12" s="29"/>
      <c r="F12" s="29"/>
      <c r="G12" s="29"/>
      <c r="H12" s="29"/>
      <c r="I12" s="29"/>
      <c r="J12" s="29"/>
      <c r="K12" s="29"/>
      <c r="L12" s="24"/>
      <c r="M12" s="24"/>
    </row>
    <row r="13">
      <c r="A13" s="35">
        <v>862.0</v>
      </c>
      <c r="B13" s="36">
        <v>0.17</v>
      </c>
      <c r="C13" s="29"/>
      <c r="D13" s="29"/>
      <c r="E13" s="29"/>
      <c r="F13" s="29"/>
      <c r="G13" s="29"/>
      <c r="H13" s="29"/>
      <c r="I13" s="29"/>
      <c r="J13" s="29"/>
      <c r="K13" s="29"/>
      <c r="L13" s="24"/>
      <c r="M13" s="24"/>
    </row>
    <row r="14">
      <c r="A14" s="35">
        <v>950.0</v>
      </c>
      <c r="B14" s="36">
        <v>0.19</v>
      </c>
      <c r="C14" s="29"/>
      <c r="D14" s="29"/>
      <c r="E14" s="29"/>
      <c r="F14" s="29"/>
      <c r="G14" s="29"/>
      <c r="H14" s="29"/>
      <c r="I14" s="29"/>
      <c r="J14" s="29"/>
      <c r="K14" s="29"/>
      <c r="L14" s="24"/>
      <c r="M14" s="24"/>
    </row>
    <row r="15" ht="18.75" customHeight="1">
      <c r="A15" s="32">
        <v>1350.0</v>
      </c>
      <c r="B15" s="36">
        <v>0.23</v>
      </c>
      <c r="C15" s="29"/>
      <c r="D15" s="38" t="s">
        <v>103</v>
      </c>
      <c r="E15" s="31"/>
      <c r="F15" s="29"/>
      <c r="G15" s="27" t="s">
        <v>104</v>
      </c>
      <c r="K15" s="29"/>
      <c r="L15" s="24"/>
      <c r="M15" s="24"/>
    </row>
    <row r="16" ht="57.75" customHeight="1">
      <c r="A16" s="32">
        <v>1750.0</v>
      </c>
      <c r="B16" s="36">
        <v>0.25</v>
      </c>
      <c r="C16" s="29"/>
      <c r="D16" s="32" t="s">
        <v>105</v>
      </c>
      <c r="E16" s="32" t="s">
        <v>106</v>
      </c>
      <c r="F16" s="29"/>
      <c r="G16" s="32" t="s">
        <v>107</v>
      </c>
      <c r="H16" s="32" t="s">
        <v>108</v>
      </c>
      <c r="I16" s="32" t="s">
        <v>109</v>
      </c>
      <c r="J16" s="32" t="s">
        <v>110</v>
      </c>
      <c r="K16" s="29"/>
      <c r="L16" s="24"/>
      <c r="M16" s="24"/>
    </row>
    <row r="17">
      <c r="A17" s="35">
        <v>2150.0</v>
      </c>
      <c r="B17" s="36">
        <v>0.29</v>
      </c>
      <c r="C17" s="29"/>
      <c r="D17" s="37">
        <v>1.5</v>
      </c>
      <c r="E17" s="37">
        <v>1.8</v>
      </c>
      <c r="F17" s="29"/>
      <c r="G17" s="37">
        <v>0.6</v>
      </c>
      <c r="H17" s="37">
        <v>0.6</v>
      </c>
      <c r="I17" s="37">
        <v>0.6</v>
      </c>
      <c r="J17" s="37">
        <v>1.5</v>
      </c>
      <c r="K17" s="29"/>
      <c r="L17" s="24"/>
      <c r="M17" s="24"/>
    </row>
    <row r="18">
      <c r="A18" s="32">
        <v>2300.0</v>
      </c>
      <c r="B18" s="36">
        <v>0.3</v>
      </c>
      <c r="C18" s="29"/>
      <c r="D18" s="29"/>
      <c r="E18" s="29"/>
      <c r="F18" s="29"/>
      <c r="G18" s="29"/>
      <c r="H18" s="29"/>
      <c r="I18" s="29"/>
      <c r="J18" s="29"/>
      <c r="K18" s="29"/>
      <c r="L18" s="24"/>
      <c r="M18" s="24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4"/>
      <c r="M19" s="24"/>
    </row>
    <row r="20" ht="18.75" customHeight="1">
      <c r="A20" s="30" t="s">
        <v>111</v>
      </c>
      <c r="B20" s="31"/>
      <c r="C20" s="31"/>
      <c r="D20" s="31"/>
      <c r="E20" s="31"/>
      <c r="F20" s="31"/>
      <c r="G20" s="31"/>
      <c r="H20" s="29"/>
      <c r="I20" s="29"/>
      <c r="J20" s="29"/>
      <c r="K20" s="29"/>
      <c r="L20" s="24"/>
      <c r="M20" s="24"/>
    </row>
    <row r="21" ht="30.0" customHeight="1">
      <c r="A21" s="32" t="s">
        <v>112</v>
      </c>
      <c r="B21" s="35" t="s">
        <v>98</v>
      </c>
      <c r="C21" s="32" t="s">
        <v>99</v>
      </c>
      <c r="D21" s="32" t="s">
        <v>113</v>
      </c>
      <c r="E21" s="32" t="s">
        <v>114</v>
      </c>
      <c r="F21" s="32" t="s">
        <v>115</v>
      </c>
      <c r="G21" s="32" t="s">
        <v>116</v>
      </c>
      <c r="H21" s="29"/>
      <c r="I21" s="29"/>
      <c r="J21" s="29"/>
      <c r="K21" s="29"/>
      <c r="L21" s="24"/>
      <c r="M21" s="24"/>
    </row>
    <row r="22">
      <c r="A22" s="35" t="s">
        <v>117</v>
      </c>
      <c r="B22" s="39" t="s">
        <v>118</v>
      </c>
      <c r="C22" s="40">
        <v>2.0</v>
      </c>
      <c r="D22" s="40">
        <v>24.0</v>
      </c>
      <c r="E22" s="40">
        <v>1.5</v>
      </c>
      <c r="F22" s="40">
        <v>23.0</v>
      </c>
      <c r="G22" s="40">
        <v>2.0</v>
      </c>
      <c r="H22" s="29"/>
      <c r="I22" s="29"/>
      <c r="J22" s="29"/>
      <c r="K22" s="29"/>
      <c r="L22" s="24"/>
      <c r="M22" s="24"/>
    </row>
    <row r="23" ht="15.75" customHeight="1">
      <c r="A23" s="35" t="s">
        <v>119</v>
      </c>
      <c r="B23" s="41" t="s">
        <v>118</v>
      </c>
      <c r="C23" s="42">
        <v>2.0</v>
      </c>
      <c r="D23" s="42">
        <v>24.0</v>
      </c>
      <c r="E23" s="42">
        <v>1.5</v>
      </c>
      <c r="F23" s="42">
        <v>23.0</v>
      </c>
      <c r="G23" s="42">
        <v>2.0</v>
      </c>
      <c r="H23" s="29"/>
      <c r="I23" s="29"/>
      <c r="J23" s="29"/>
      <c r="K23" s="29"/>
      <c r="L23" s="24"/>
      <c r="M23" s="24"/>
    </row>
    <row r="24" ht="15.75" customHeight="1">
      <c r="A24" s="35" t="s">
        <v>120</v>
      </c>
      <c r="B24" s="41" t="s">
        <v>118</v>
      </c>
      <c r="C24" s="42">
        <v>2.0</v>
      </c>
      <c r="D24" s="42">
        <v>24.0</v>
      </c>
      <c r="E24" s="42">
        <v>1.5</v>
      </c>
      <c r="F24" s="42">
        <v>23.0</v>
      </c>
      <c r="G24" s="42">
        <v>2.0</v>
      </c>
      <c r="H24" s="29"/>
      <c r="I24" s="29"/>
      <c r="J24" s="29"/>
      <c r="K24" s="29"/>
      <c r="L24" s="24"/>
      <c r="M24" s="24"/>
    </row>
    <row r="25" ht="15.75" customHeight="1">
      <c r="A25" s="35" t="s">
        <v>121</v>
      </c>
      <c r="B25" s="41" t="s">
        <v>122</v>
      </c>
      <c r="C25" s="42">
        <v>2.0</v>
      </c>
      <c r="D25" s="42">
        <v>20.0</v>
      </c>
      <c r="E25" s="42">
        <v>1.5</v>
      </c>
      <c r="F25" s="42">
        <v>19.0</v>
      </c>
      <c r="G25" s="42">
        <v>2.0</v>
      </c>
      <c r="H25" s="29"/>
      <c r="I25" s="29"/>
      <c r="J25" s="29"/>
      <c r="K25" s="29"/>
      <c r="L25" s="24"/>
      <c r="M25" s="24"/>
    </row>
    <row r="26" ht="15.75" customHeight="1">
      <c r="A26" s="35" t="s">
        <v>123</v>
      </c>
      <c r="B26" s="41" t="s">
        <v>122</v>
      </c>
      <c r="C26" s="42">
        <v>2.0</v>
      </c>
      <c r="D26" s="42">
        <v>20.0</v>
      </c>
      <c r="E26" s="42">
        <v>1.5</v>
      </c>
      <c r="F26" s="42">
        <v>19.0</v>
      </c>
      <c r="G26" s="42">
        <v>2.0</v>
      </c>
      <c r="H26" s="29"/>
      <c r="I26" s="29"/>
      <c r="J26" s="29"/>
      <c r="K26" s="29"/>
      <c r="L26" s="24"/>
      <c r="M26" s="24"/>
    </row>
    <row r="27" ht="15.75" customHeight="1">
      <c r="A27" s="35" t="s">
        <v>124</v>
      </c>
      <c r="B27" s="41" t="s">
        <v>122</v>
      </c>
      <c r="C27" s="42">
        <v>2.0</v>
      </c>
      <c r="D27" s="42">
        <v>20.0</v>
      </c>
      <c r="E27" s="42">
        <v>1.5</v>
      </c>
      <c r="F27" s="42">
        <v>19.0</v>
      </c>
      <c r="G27" s="42">
        <v>2.0</v>
      </c>
      <c r="H27" s="29"/>
      <c r="I27" s="29"/>
      <c r="J27" s="29"/>
      <c r="K27" s="29"/>
      <c r="L27" s="24"/>
      <c r="M27" s="24"/>
    </row>
    <row r="28" ht="15.75" customHeight="1">
      <c r="A28" s="35" t="s">
        <v>125</v>
      </c>
      <c r="B28" s="41" t="s">
        <v>126</v>
      </c>
      <c r="C28" s="42">
        <v>2.0</v>
      </c>
      <c r="D28" s="42">
        <v>16.0</v>
      </c>
      <c r="E28" s="42">
        <v>2.0</v>
      </c>
      <c r="F28" s="42">
        <v>15.0</v>
      </c>
      <c r="G28" s="42">
        <v>2.5</v>
      </c>
      <c r="H28" s="29"/>
      <c r="I28" s="29"/>
      <c r="J28" s="29"/>
      <c r="K28" s="29"/>
      <c r="L28" s="24"/>
      <c r="M28" s="24"/>
    </row>
    <row r="29" ht="15.75" customHeight="1">
      <c r="A29" s="35" t="s">
        <v>127</v>
      </c>
      <c r="B29" s="41" t="s">
        <v>126</v>
      </c>
      <c r="C29" s="42">
        <v>2.0</v>
      </c>
      <c r="D29" s="42">
        <v>16.0</v>
      </c>
      <c r="E29" s="42">
        <v>2.0</v>
      </c>
      <c r="F29" s="42">
        <v>15.0</v>
      </c>
      <c r="G29" s="42">
        <v>2.5</v>
      </c>
      <c r="H29" s="29"/>
      <c r="I29" s="29"/>
      <c r="J29" s="29"/>
      <c r="K29" s="29"/>
      <c r="L29" s="24"/>
      <c r="M29" s="24"/>
    </row>
    <row r="30" ht="15.75" customHeight="1">
      <c r="A30" s="32" t="s">
        <v>128</v>
      </c>
      <c r="B30" s="41" t="s">
        <v>129</v>
      </c>
      <c r="C30" s="42">
        <v>2.0</v>
      </c>
      <c r="D30" s="42">
        <v>12.0</v>
      </c>
      <c r="E30" s="42">
        <v>2.3</v>
      </c>
      <c r="F30" s="42">
        <v>11.0</v>
      </c>
      <c r="G30" s="42">
        <v>3.4</v>
      </c>
      <c r="H30" s="29"/>
      <c r="I30" s="29"/>
      <c r="J30" s="29"/>
      <c r="K30" s="29"/>
      <c r="L30" s="24"/>
      <c r="M30" s="24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4"/>
      <c r="M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7">
    <mergeCell ref="A1:H4"/>
    <mergeCell ref="A6:B6"/>
    <mergeCell ref="D6:F6"/>
    <mergeCell ref="H6:J6"/>
    <mergeCell ref="D15:E15"/>
    <mergeCell ref="G15:J15"/>
    <mergeCell ref="A20:G2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5.43"/>
    <col customWidth="1" min="3" max="3" width="16.14"/>
    <col customWidth="1" min="4" max="5" width="14.86"/>
    <col customWidth="1" min="6" max="6" width="16.14"/>
    <col customWidth="1" min="7" max="7" width="21.43"/>
    <col customWidth="1" min="8" max="8" width="25.14"/>
    <col customWidth="1" min="9" max="9" width="14.86"/>
    <col customWidth="1" min="10" max="10" width="16.43"/>
    <col customWidth="1" min="11" max="11" width="19.29"/>
    <col customWidth="1" min="12" max="13" width="16.14"/>
    <col customWidth="1" min="14" max="14" width="10.0"/>
    <col customWidth="1" min="15" max="15" width="40.57"/>
    <col customWidth="1" min="16" max="16" width="18.57"/>
    <col customWidth="1" min="17" max="17" width="16.86"/>
    <col customWidth="1" min="18" max="19" width="17.0"/>
    <col customWidth="1" min="20" max="20" width="17.29"/>
    <col customWidth="1" min="21" max="21" width="19.14"/>
    <col customWidth="1" min="22" max="22" width="40.57"/>
    <col customWidth="1" min="23" max="23" width="16.86"/>
    <col customWidth="1" min="24" max="24" width="15.29"/>
    <col customWidth="1" min="25" max="29" width="14.71"/>
  </cols>
  <sheetData>
    <row r="1">
      <c r="A1" s="43" t="s">
        <v>130</v>
      </c>
      <c r="B1" s="44"/>
      <c r="C1" s="44"/>
      <c r="D1" s="44"/>
      <c r="E1" s="44"/>
      <c r="F1" s="44"/>
      <c r="G1" s="45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2">
      <c r="A2" s="25"/>
      <c r="G2" s="46"/>
      <c r="H2" s="29"/>
      <c r="I2" s="29"/>
      <c r="J2" s="29"/>
      <c r="K2" s="29"/>
      <c r="L2" s="29"/>
      <c r="M2" s="47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>
      <c r="A3" s="25"/>
      <c r="G3" s="46"/>
      <c r="H3" s="29"/>
      <c r="I3" s="29"/>
      <c r="J3" s="29"/>
      <c r="K3" s="29"/>
      <c r="L3" s="29"/>
      <c r="M3" s="48" t="s">
        <v>131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</row>
    <row r="4" ht="32.25" customHeight="1">
      <c r="A4" s="49"/>
      <c r="B4" s="50"/>
      <c r="C4" s="50"/>
      <c r="D4" s="50"/>
      <c r="E4" s="50"/>
      <c r="F4" s="50"/>
      <c r="G4" s="51"/>
      <c r="H4" s="29"/>
      <c r="I4" s="29"/>
      <c r="J4" s="29"/>
      <c r="K4" s="29"/>
      <c r="L4" s="29"/>
      <c r="M4" s="47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 ht="15.75" customHeight="1">
      <c r="A5" s="29"/>
      <c r="B5" s="29"/>
      <c r="C5" s="29"/>
      <c r="D5" s="29"/>
      <c r="E5" s="29"/>
      <c r="F5" s="29"/>
      <c r="G5" s="29"/>
      <c r="H5" s="52" t="s">
        <v>132</v>
      </c>
      <c r="I5" s="53"/>
      <c r="J5" s="53"/>
      <c r="K5" s="54">
        <f>MEDIAN(MAX(P20:S20),MIN(P20:S20))</f>
        <v>99.7325</v>
      </c>
      <c r="L5" s="29"/>
      <c r="M5" s="47"/>
      <c r="N5" s="29"/>
      <c r="O5" s="29"/>
      <c r="P5" s="29"/>
      <c r="Q5" s="55" t="s">
        <v>133</v>
      </c>
      <c r="R5" s="55" t="s">
        <v>134</v>
      </c>
      <c r="S5" s="55" t="s">
        <v>135</v>
      </c>
      <c r="T5" s="55" t="s">
        <v>136</v>
      </c>
      <c r="U5" s="29"/>
      <c r="V5" s="29"/>
      <c r="W5" s="29"/>
      <c r="X5" s="29"/>
      <c r="Y5" s="29"/>
      <c r="Z5" s="29"/>
      <c r="AA5" s="29"/>
      <c r="AB5" s="29"/>
      <c r="AC5" s="29"/>
    </row>
    <row r="6" ht="15.75" customHeight="1">
      <c r="A6" s="29"/>
      <c r="B6" s="28"/>
      <c r="C6" s="29"/>
      <c r="D6" s="29"/>
      <c r="E6" s="29"/>
      <c r="F6" s="29"/>
      <c r="G6" s="29"/>
      <c r="H6" s="56" t="s">
        <v>137</v>
      </c>
      <c r="I6" s="53"/>
      <c r="J6" s="53"/>
      <c r="K6" s="54">
        <f>MEDIAN(T20:U20)</f>
        <v>107.0748</v>
      </c>
      <c r="L6" s="29"/>
      <c r="M6" s="29"/>
      <c r="N6" s="29"/>
      <c r="O6" s="29"/>
      <c r="P6" s="55" t="s">
        <v>138</v>
      </c>
      <c r="Q6" s="57" t="s">
        <v>139</v>
      </c>
      <c r="R6" s="57" t="s">
        <v>139</v>
      </c>
      <c r="S6" s="57" t="s">
        <v>139</v>
      </c>
      <c r="T6" s="57" t="s">
        <v>139</v>
      </c>
      <c r="U6" s="29"/>
      <c r="V6" s="29"/>
      <c r="W6" s="29"/>
      <c r="X6" s="29"/>
      <c r="Y6" s="29"/>
      <c r="Z6" s="29"/>
      <c r="AA6" s="29"/>
      <c r="AB6" s="29"/>
      <c r="AC6" s="29"/>
    </row>
    <row r="7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55" t="s">
        <v>140</v>
      </c>
      <c r="Q7" s="57" t="s">
        <v>141</v>
      </c>
      <c r="R7" s="57" t="s">
        <v>141</v>
      </c>
      <c r="S7" s="57" t="s">
        <v>142</v>
      </c>
      <c r="T7" s="57" t="s">
        <v>142</v>
      </c>
      <c r="U7" s="29"/>
      <c r="V7" s="29"/>
      <c r="W7" s="29"/>
      <c r="X7" s="29"/>
      <c r="Y7" s="29"/>
      <c r="Z7" s="29"/>
      <c r="AA7" s="29"/>
      <c r="AB7" s="29"/>
      <c r="AC7" s="29"/>
    </row>
    <row r="8" ht="108.0" customHeight="1">
      <c r="A8" s="27"/>
      <c r="B8" s="58" t="s">
        <v>143</v>
      </c>
      <c r="C8" s="53"/>
      <c r="D8" s="53"/>
      <c r="E8" s="53"/>
      <c r="F8" s="53"/>
      <c r="G8" s="59"/>
      <c r="H8" s="60" t="s">
        <v>144</v>
      </c>
      <c r="I8" s="53"/>
      <c r="J8" s="53"/>
      <c r="K8" s="53"/>
      <c r="L8" s="53"/>
      <c r="M8" s="53"/>
      <c r="N8" s="61"/>
      <c r="O8" s="28"/>
      <c r="P8" s="28"/>
      <c r="Q8" s="28"/>
      <c r="R8" s="48"/>
      <c r="S8" s="4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ht="15.75" customHeight="1">
      <c r="A9" s="27"/>
      <c r="B9" s="62" t="s">
        <v>133</v>
      </c>
      <c r="C9" s="62" t="s">
        <v>134</v>
      </c>
      <c r="D9" s="63" t="s">
        <v>135</v>
      </c>
      <c r="E9" s="26"/>
      <c r="F9" s="27" t="s">
        <v>136</v>
      </c>
      <c r="G9" s="64"/>
      <c r="H9" s="65" t="s">
        <v>133</v>
      </c>
      <c r="I9" s="66" t="s">
        <v>134</v>
      </c>
      <c r="J9" s="67" t="s">
        <v>135</v>
      </c>
      <c r="K9" s="3"/>
      <c r="L9" s="67" t="s">
        <v>136</v>
      </c>
      <c r="M9" s="68"/>
      <c r="N9" s="29"/>
      <c r="O9" s="69" t="s">
        <v>145</v>
      </c>
      <c r="P9" s="70" t="s">
        <v>133</v>
      </c>
      <c r="Q9" s="70" t="s">
        <v>134</v>
      </c>
      <c r="R9" s="71" t="s">
        <v>135</v>
      </c>
      <c r="S9" s="72"/>
      <c r="T9" s="71" t="s">
        <v>136</v>
      </c>
      <c r="U9" s="72"/>
      <c r="V9" s="69" t="s">
        <v>145</v>
      </c>
      <c r="W9" s="28"/>
      <c r="X9" s="28"/>
      <c r="Y9" s="28"/>
      <c r="Z9" s="28"/>
      <c r="AA9" s="28"/>
      <c r="AB9" s="28"/>
      <c r="AC9" s="28"/>
    </row>
    <row r="10" ht="16.5" customHeight="1">
      <c r="A10" s="27" t="s">
        <v>146</v>
      </c>
      <c r="B10" s="73" t="s">
        <v>147</v>
      </c>
      <c r="C10" s="73" t="s">
        <v>148</v>
      </c>
      <c r="D10" s="74" t="s">
        <v>149</v>
      </c>
      <c r="E10" s="75" t="s">
        <v>150</v>
      </c>
      <c r="F10" s="74" t="s">
        <v>151</v>
      </c>
      <c r="G10" s="76" t="s">
        <v>152</v>
      </c>
      <c r="H10" s="73" t="s">
        <v>147</v>
      </c>
      <c r="I10" s="73" t="s">
        <v>148</v>
      </c>
      <c r="J10" s="74" t="s">
        <v>149</v>
      </c>
      <c r="K10" s="75" t="s">
        <v>150</v>
      </c>
      <c r="L10" s="74" t="s">
        <v>151</v>
      </c>
      <c r="M10" s="76" t="s">
        <v>152</v>
      </c>
      <c r="N10" s="29"/>
      <c r="O10" s="77"/>
      <c r="P10" s="70" t="s">
        <v>147</v>
      </c>
      <c r="Q10" s="70" t="s">
        <v>148</v>
      </c>
      <c r="R10" s="78" t="s">
        <v>149</v>
      </c>
      <c r="S10" s="78" t="s">
        <v>150</v>
      </c>
      <c r="T10" s="78" t="s">
        <v>151</v>
      </c>
      <c r="U10" s="78" t="s">
        <v>152</v>
      </c>
      <c r="V10" s="77"/>
      <c r="W10" s="28"/>
      <c r="X10" s="28"/>
      <c r="Y10" s="28"/>
      <c r="Z10" s="28"/>
      <c r="AA10" s="28"/>
      <c r="AB10" s="28"/>
      <c r="AC10" s="28"/>
    </row>
    <row r="11" ht="15.75" customHeight="1">
      <c r="A11" s="79" t="s">
        <v>7</v>
      </c>
      <c r="B11" s="80">
        <f>B$113+B$126+'1.Distancias'!$B6*'2.Red'!$B$9+'2.Red'!$G$17</f>
        <v>41.8812</v>
      </c>
      <c r="C11" s="80">
        <f>C$113+C$126+'1.Distancias'!$B6*'2.Red'!$B$10+'2.Red'!$H$17</f>
        <v>42.1416</v>
      </c>
      <c r="D11" s="80">
        <f>D$113+D$126+'1.Distancias'!$B6*'2.Red'!$B$11+'2.Red'!$I$17</f>
        <v>42.9228</v>
      </c>
      <c r="E11" s="81">
        <f>E$113+E$126+'1.Distancias'!$B6*'2.Red'!$B$13+'2.Red'!$I$17</f>
        <v>43.3134</v>
      </c>
      <c r="F11" s="80">
        <f>F$113+F$126+'1.Distancias'!$B6*'2.Red'!$B$14+'2.Red'!$J$17</f>
        <v>38.7738</v>
      </c>
      <c r="G11" s="80">
        <f>G$113+G$126+'1.Distancias'!$B6*'2.Red'!$B$17+'2.Red'!$J$17</f>
        <v>40.0758</v>
      </c>
      <c r="H11" s="82">
        <f t="shared" ref="H11:K11" si="1">$K$5-B11</f>
        <v>57.8513</v>
      </c>
      <c r="I11" s="82">
        <f t="shared" si="1"/>
        <v>57.5909</v>
      </c>
      <c r="J11" s="82">
        <f t="shared" si="1"/>
        <v>56.8097</v>
      </c>
      <c r="K11" s="83">
        <f t="shared" si="1"/>
        <v>56.4191</v>
      </c>
      <c r="L11" s="82">
        <f t="shared" ref="L11:M11" si="2">$K$6-F11</f>
        <v>68.301</v>
      </c>
      <c r="M11" s="82">
        <f t="shared" si="2"/>
        <v>66.999</v>
      </c>
      <c r="N11" s="28"/>
      <c r="O11" s="55" t="s">
        <v>138</v>
      </c>
      <c r="P11" s="84">
        <f t="shared" ref="P11:U11" si="3">B98</f>
        <v>41.6652</v>
      </c>
      <c r="Q11" s="84">
        <f t="shared" si="3"/>
        <v>41.8536</v>
      </c>
      <c r="R11" s="84">
        <f t="shared" si="3"/>
        <v>42.4188</v>
      </c>
      <c r="S11" s="84">
        <f t="shared" si="3"/>
        <v>42.7014</v>
      </c>
      <c r="T11" s="84">
        <f t="shared" si="3"/>
        <v>38.0898</v>
      </c>
      <c r="U11" s="84">
        <f t="shared" si="3"/>
        <v>39.0318</v>
      </c>
      <c r="V11" s="55" t="s">
        <v>138</v>
      </c>
      <c r="W11" s="28"/>
      <c r="X11" s="28"/>
      <c r="Y11" s="28"/>
      <c r="Z11" s="28"/>
      <c r="AA11" s="28"/>
      <c r="AB11" s="28"/>
      <c r="AC11" s="28"/>
    </row>
    <row r="12" ht="15.75" customHeight="1">
      <c r="A12" s="79" t="s">
        <v>8</v>
      </c>
      <c r="B12" s="80">
        <f>B$113+B$126+'1.Distancias'!$B7*'2.Red'!$B$9+'2.Red'!$G$17</f>
        <v>42.0204</v>
      </c>
      <c r="C12" s="80">
        <f>C$113+C$126+'1.Distancias'!$B7*'2.Red'!$B$10+'2.Red'!$H$17</f>
        <v>42.3272</v>
      </c>
      <c r="D12" s="80">
        <f>D$113+D$126+'1.Distancias'!$B7*'2.Red'!$B$11+'2.Red'!$I$17</f>
        <v>43.2476</v>
      </c>
      <c r="E12" s="81">
        <f>E$113+E$126+'1.Distancias'!$B7*'2.Red'!$B$13+'2.Red'!$I$17</f>
        <v>43.7078</v>
      </c>
      <c r="F12" s="80">
        <f>F$113+F$126+'1.Distancias'!$B7*'2.Red'!$B$14+'2.Red'!$J$17</f>
        <v>39.2146</v>
      </c>
      <c r="G12" s="80">
        <f>G$113+G$126+'1.Distancias'!$B7*'2.Red'!$B$17+'2.Red'!$J$17</f>
        <v>40.7486</v>
      </c>
      <c r="H12" s="82">
        <f t="shared" ref="H12:K12" si="4">$K$5-B12</f>
        <v>57.7121</v>
      </c>
      <c r="I12" s="82">
        <f t="shared" si="4"/>
        <v>57.4053</v>
      </c>
      <c r="J12" s="82">
        <f t="shared" si="4"/>
        <v>56.4849</v>
      </c>
      <c r="K12" s="83">
        <f t="shared" si="4"/>
        <v>56.0247</v>
      </c>
      <c r="L12" s="82">
        <f t="shared" ref="L12:M12" si="5">$K$6-F12</f>
        <v>67.8602</v>
      </c>
      <c r="M12" s="82">
        <f t="shared" si="5"/>
        <v>66.3262</v>
      </c>
      <c r="N12" s="28"/>
      <c r="O12" s="55" t="s">
        <v>140</v>
      </c>
      <c r="P12" s="84">
        <f t="shared" ref="P12:U12" si="6">B97</f>
        <v>46.4372</v>
      </c>
      <c r="Q12" s="84">
        <f t="shared" si="6"/>
        <v>47.0496</v>
      </c>
      <c r="R12" s="84">
        <f t="shared" si="6"/>
        <v>49.2268</v>
      </c>
      <c r="S12" s="84">
        <f t="shared" si="6"/>
        <v>50.3254</v>
      </c>
      <c r="T12" s="84">
        <f t="shared" si="6"/>
        <v>49.7578</v>
      </c>
      <c r="U12" s="84">
        <f t="shared" si="6"/>
        <v>53.4198</v>
      </c>
      <c r="V12" s="55" t="s">
        <v>140</v>
      </c>
      <c r="W12" s="28"/>
      <c r="X12" s="28"/>
      <c r="Y12" s="28"/>
      <c r="Z12" s="28"/>
      <c r="AA12" s="28"/>
      <c r="AB12" s="28"/>
      <c r="AC12" s="28"/>
    </row>
    <row r="13" ht="15.75" customHeight="1">
      <c r="A13" s="79" t="s">
        <v>9</v>
      </c>
      <c r="B13" s="80">
        <f>B$113+B$126+'1.Distancias'!$B8*'2.Red'!$B$9+'2.Red'!$G$17</f>
        <v>42.06</v>
      </c>
      <c r="C13" s="80">
        <f>C$113+C$126+'1.Distancias'!$B8*'2.Red'!$B$10+'2.Red'!$H$17</f>
        <v>42.38</v>
      </c>
      <c r="D13" s="80">
        <f>D$113+D$126+'1.Distancias'!$B8*'2.Red'!$B$11+'2.Red'!$I$17</f>
        <v>43.34</v>
      </c>
      <c r="E13" s="81">
        <f>E$113+E$126+'1.Distancias'!$B8*'2.Red'!$B$13+'2.Red'!$I$17</f>
        <v>43.82</v>
      </c>
      <c r="F13" s="80">
        <f>F$113+F$126+'1.Distancias'!$B8*'2.Red'!$B$14+'2.Red'!$J$17</f>
        <v>39.34</v>
      </c>
      <c r="G13" s="80">
        <f>G$113+G$126+'1.Distancias'!$B8*'2.Red'!$B$17+'2.Red'!$J$17</f>
        <v>40.94</v>
      </c>
      <c r="H13" s="82">
        <f t="shared" ref="H13:K13" si="7">$K$5-B13</f>
        <v>57.6725</v>
      </c>
      <c r="I13" s="82">
        <f t="shared" si="7"/>
        <v>57.3525</v>
      </c>
      <c r="J13" s="82">
        <f t="shared" si="7"/>
        <v>56.3925</v>
      </c>
      <c r="K13" s="83">
        <f t="shared" si="7"/>
        <v>55.9125</v>
      </c>
      <c r="L13" s="82">
        <f t="shared" ref="L13:M13" si="8">$K$6-F13</f>
        <v>67.7348</v>
      </c>
      <c r="M13" s="82">
        <f t="shared" si="8"/>
        <v>66.1348</v>
      </c>
      <c r="N13" s="28"/>
      <c r="O13" s="28"/>
      <c r="P13" s="28"/>
      <c r="Q13" s="28"/>
      <c r="R13" s="28"/>
      <c r="S13" s="4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ht="15.75" customHeight="1">
      <c r="A14" s="79" t="s">
        <v>10</v>
      </c>
      <c r="B14" s="80">
        <f>B$113+B$126+'1.Distancias'!$B9*'2.Red'!$B$9+'2.Red'!$G$17</f>
        <v>41.889</v>
      </c>
      <c r="C14" s="80">
        <f>C$113+C$126+'1.Distancias'!$B9*'2.Red'!$B$10+'2.Red'!$H$17</f>
        <v>42.152</v>
      </c>
      <c r="D14" s="80">
        <f>D$113+D$126+'1.Distancias'!$B9*'2.Red'!$B$11+'2.Red'!$I$17</f>
        <v>42.941</v>
      </c>
      <c r="E14" s="81">
        <f>E$113+E$126+'1.Distancias'!$B9*'2.Red'!$B$13+'2.Red'!$I$17</f>
        <v>43.3355</v>
      </c>
      <c r="F14" s="80">
        <f>F$113+F$126+'1.Distancias'!$B9*'2.Red'!$B$14+'2.Red'!$J$17</f>
        <v>38.7985</v>
      </c>
      <c r="G14" s="80">
        <f>G$113+G$126+'1.Distancias'!$B9*'2.Red'!$B$17+'2.Red'!$J$17</f>
        <v>40.1135</v>
      </c>
      <c r="H14" s="82">
        <f t="shared" ref="H14:K14" si="9">$K$5-B14</f>
        <v>57.8435</v>
      </c>
      <c r="I14" s="82">
        <f t="shared" si="9"/>
        <v>57.5805</v>
      </c>
      <c r="J14" s="82">
        <f t="shared" si="9"/>
        <v>56.7915</v>
      </c>
      <c r="K14" s="83">
        <f t="shared" si="9"/>
        <v>56.397</v>
      </c>
      <c r="L14" s="82">
        <f t="shared" ref="L14:M14" si="10">$K$6-F14</f>
        <v>68.2763</v>
      </c>
      <c r="M14" s="82">
        <f t="shared" si="10"/>
        <v>66.9613</v>
      </c>
      <c r="N14" s="28"/>
      <c r="O14" s="69" t="s">
        <v>153</v>
      </c>
      <c r="P14" s="70" t="s">
        <v>133</v>
      </c>
      <c r="Q14" s="70" t="s">
        <v>134</v>
      </c>
      <c r="R14" s="71" t="s">
        <v>135</v>
      </c>
      <c r="S14" s="72"/>
      <c r="T14" s="71" t="s">
        <v>136</v>
      </c>
      <c r="U14" s="72"/>
      <c r="V14" s="69" t="s">
        <v>153</v>
      </c>
      <c r="W14" s="28"/>
      <c r="X14" s="28"/>
      <c r="Y14" s="28"/>
      <c r="Z14" s="28"/>
      <c r="AA14" s="28"/>
      <c r="AB14" s="28"/>
      <c r="AC14" s="28"/>
    </row>
    <row r="15" ht="15.75" customHeight="1">
      <c r="A15" s="79" t="s">
        <v>154</v>
      </c>
      <c r="B15" s="85">
        <f>B$113+B$126+'1.Distancias'!$B10*'2.Red'!$B$9+'2.Red'!$G$17</f>
        <v>41.6652</v>
      </c>
      <c r="C15" s="85">
        <f>C$113+C$126+'1.Distancias'!$B10*'2.Red'!$B$10+'2.Red'!$H$17</f>
        <v>41.8536</v>
      </c>
      <c r="D15" s="85">
        <f>D$113+D$126+'1.Distancias'!$B10*'2.Red'!$B$11+'2.Red'!$I$17</f>
        <v>42.4188</v>
      </c>
      <c r="E15" s="85">
        <f>E$113+E$126+'1.Distancias'!$B10*'2.Red'!$B$13+'2.Red'!$I$17</f>
        <v>42.7014</v>
      </c>
      <c r="F15" s="85">
        <f>F$113+F$126+'1.Distancias'!$B10*'2.Red'!$B$14+'2.Red'!$J$17</f>
        <v>38.0898</v>
      </c>
      <c r="G15" s="85">
        <f>G$113+G$126+'1.Distancias'!$B10*'2.Red'!$B$17+'2.Red'!$J$17</f>
        <v>39.0318</v>
      </c>
      <c r="H15" s="85">
        <f t="shared" ref="H15:K15" si="11">$K$5-B15</f>
        <v>58.0673</v>
      </c>
      <c r="I15" s="85">
        <f t="shared" si="11"/>
        <v>57.8789</v>
      </c>
      <c r="J15" s="86">
        <f t="shared" si="11"/>
        <v>57.3137</v>
      </c>
      <c r="K15" s="86">
        <f t="shared" si="11"/>
        <v>57.0311</v>
      </c>
      <c r="L15" s="86">
        <f t="shared" ref="L15:M15" si="12">$K$6-F15</f>
        <v>68.985</v>
      </c>
      <c r="M15" s="86">
        <f t="shared" si="12"/>
        <v>68.043</v>
      </c>
      <c r="N15" s="28"/>
      <c r="O15" s="77"/>
      <c r="P15" s="70" t="s">
        <v>147</v>
      </c>
      <c r="Q15" s="70" t="s">
        <v>148</v>
      </c>
      <c r="R15" s="78" t="s">
        <v>149</v>
      </c>
      <c r="S15" s="78" t="s">
        <v>150</v>
      </c>
      <c r="T15" s="78" t="s">
        <v>151</v>
      </c>
      <c r="U15" s="78" t="s">
        <v>152</v>
      </c>
      <c r="V15" s="77"/>
      <c r="W15" s="28"/>
      <c r="X15" s="28"/>
      <c r="Y15" s="28"/>
      <c r="Z15" s="28"/>
      <c r="AA15" s="28"/>
      <c r="AB15" s="28"/>
      <c r="AC15" s="28"/>
    </row>
    <row r="16" ht="15.75" customHeight="1">
      <c r="A16" s="79" t="s">
        <v>12</v>
      </c>
      <c r="B16" s="80">
        <f>B$114+B$127+'1.Distancias'!$B11*'2.Red'!$B$9+'2.Red'!$G$17</f>
        <v>43.4952</v>
      </c>
      <c r="C16" s="80">
        <f>C$114+C$127+'1.Distancias'!$B11*'2.Red'!$B$10+'2.Red'!$H$17</f>
        <v>43.7936</v>
      </c>
      <c r="D16" s="80">
        <f>D$114+D$127+'1.Distancias'!$B11*'2.Red'!$B$11+'2.Red'!$I$17</f>
        <v>44.6888</v>
      </c>
      <c r="E16" s="81">
        <f>E$114+E$127+'1.Distancias'!$B11*'2.Red'!$B$13+'2.Red'!$I$17</f>
        <v>45.1364</v>
      </c>
      <c r="F16" s="80">
        <f>F$114+F$127+'1.Distancias'!$B11*'2.Red'!$B$14+'2.Red'!$J$17</f>
        <v>41.1348</v>
      </c>
      <c r="G16" s="80">
        <f>G$114+G$127+'1.Distancias'!$B11*'2.Red'!$B$17+'2.Red'!$J$17</f>
        <v>42.6268</v>
      </c>
      <c r="H16" s="82">
        <f t="shared" ref="H16:K16" si="13">$K$5-B16</f>
        <v>56.2373</v>
      </c>
      <c r="I16" s="82">
        <f t="shared" si="13"/>
        <v>55.9389</v>
      </c>
      <c r="J16" s="82">
        <f t="shared" si="13"/>
        <v>55.0437</v>
      </c>
      <c r="K16" s="83">
        <f t="shared" si="13"/>
        <v>54.5961</v>
      </c>
      <c r="L16" s="82">
        <f t="shared" ref="L16:M16" si="14">$K$6-F16</f>
        <v>65.94</v>
      </c>
      <c r="M16" s="82">
        <f t="shared" si="14"/>
        <v>64.448</v>
      </c>
      <c r="N16" s="28"/>
      <c r="O16" s="87" t="s">
        <v>155</v>
      </c>
      <c r="P16" s="57">
        <v>70.0</v>
      </c>
      <c r="Q16" s="57">
        <v>70.0</v>
      </c>
      <c r="R16" s="57">
        <v>70.0</v>
      </c>
      <c r="S16" s="57">
        <v>70.0</v>
      </c>
      <c r="T16" s="57">
        <v>77.0</v>
      </c>
      <c r="U16" s="57">
        <v>77.0</v>
      </c>
      <c r="V16" s="87" t="s">
        <v>155</v>
      </c>
      <c r="W16" s="28"/>
      <c r="X16" s="28"/>
      <c r="Y16" s="28"/>
      <c r="Z16" s="28"/>
      <c r="AA16" s="28"/>
      <c r="AB16" s="28"/>
      <c r="AC16" s="28"/>
    </row>
    <row r="17" ht="15.75" customHeight="1">
      <c r="A17" s="79" t="s">
        <v>13</v>
      </c>
      <c r="B17" s="80">
        <f>B$114+B$127+'1.Distancias'!$B12*'2.Red'!$B$9+'2.Red'!$G$17</f>
        <v>43.7172</v>
      </c>
      <c r="C17" s="80">
        <f>C$114+C$127+'1.Distancias'!$B12*'2.Red'!$B$10+'2.Red'!$H$17</f>
        <v>44.0896</v>
      </c>
      <c r="D17" s="80">
        <f>D$114+D$127+'1.Distancias'!$B12*'2.Red'!$B$11+'2.Red'!$I$17</f>
        <v>45.2068</v>
      </c>
      <c r="E17" s="81">
        <f>E$114+E$127+'1.Distancias'!$B12*'2.Red'!$B$13+'2.Red'!$I$17</f>
        <v>45.7654</v>
      </c>
      <c r="F17" s="80">
        <f>F$114+F$127+'1.Distancias'!$B12*'2.Red'!$B$14+'2.Red'!$J$17</f>
        <v>41.8378</v>
      </c>
      <c r="G17" s="80">
        <f>G$114+G$127+'1.Distancias'!$B12*'2.Red'!$B$17+'2.Red'!$J$17</f>
        <v>43.6998</v>
      </c>
      <c r="H17" s="82">
        <f t="shared" ref="H17:K17" si="15">$K$5-B17</f>
        <v>56.0153</v>
      </c>
      <c r="I17" s="82">
        <f t="shared" si="15"/>
        <v>55.6429</v>
      </c>
      <c r="J17" s="82">
        <f t="shared" si="15"/>
        <v>54.5257</v>
      </c>
      <c r="K17" s="83">
        <f t="shared" si="15"/>
        <v>53.9671</v>
      </c>
      <c r="L17" s="82">
        <f t="shared" ref="L17:M17" si="16">$K$6-F17</f>
        <v>65.237</v>
      </c>
      <c r="M17" s="82">
        <f t="shared" si="16"/>
        <v>63.375</v>
      </c>
      <c r="N17" s="28"/>
      <c r="O17" s="87" t="s">
        <v>156</v>
      </c>
      <c r="P17" s="57">
        <v>40.0</v>
      </c>
      <c r="Q17" s="57">
        <v>30.0</v>
      </c>
      <c r="R17" s="57">
        <v>47.0</v>
      </c>
      <c r="S17" s="57">
        <v>47.0</v>
      </c>
      <c r="T17" s="57">
        <v>47.0</v>
      </c>
      <c r="U17" s="57">
        <v>47.0</v>
      </c>
      <c r="V17" s="87" t="s">
        <v>156</v>
      </c>
      <c r="W17" s="28"/>
      <c r="X17" s="28"/>
      <c r="Y17" s="28"/>
      <c r="Z17" s="28"/>
      <c r="AA17" s="28"/>
      <c r="AB17" s="28"/>
      <c r="AC17" s="28"/>
    </row>
    <row r="18" ht="15.75" customHeight="1">
      <c r="A18" s="79" t="s">
        <v>14</v>
      </c>
      <c r="B18" s="80">
        <f>B$114+B$127+'1.Distancias'!$B13*'2.Red'!$B$9+'2.Red'!$G$17</f>
        <v>43.662</v>
      </c>
      <c r="C18" s="80">
        <f>C$114+C$127+'1.Distancias'!$B13*'2.Red'!$B$10+'2.Red'!$H$17</f>
        <v>44.016</v>
      </c>
      <c r="D18" s="80">
        <f>D$114+D$127+'1.Distancias'!$B13*'2.Red'!$B$11+'2.Red'!$I$17</f>
        <v>45.078</v>
      </c>
      <c r="E18" s="81">
        <f>E$114+E$127+'1.Distancias'!$B13*'2.Red'!$B$13+'2.Red'!$I$17</f>
        <v>45.609</v>
      </c>
      <c r="F18" s="80">
        <f>F$114+F$127+'1.Distancias'!$B13*'2.Red'!$B$14+'2.Red'!$J$17</f>
        <v>41.663</v>
      </c>
      <c r="G18" s="80">
        <f>G$114+G$127+'1.Distancias'!$B13*'2.Red'!$B$17+'2.Red'!$J$17</f>
        <v>43.433</v>
      </c>
      <c r="H18" s="82">
        <f t="shared" ref="H18:K18" si="17">$K$5-B18</f>
        <v>56.0705</v>
      </c>
      <c r="I18" s="82">
        <f t="shared" si="17"/>
        <v>55.7165</v>
      </c>
      <c r="J18" s="82">
        <f t="shared" si="17"/>
        <v>54.6545</v>
      </c>
      <c r="K18" s="83">
        <f t="shared" si="17"/>
        <v>54.1235</v>
      </c>
      <c r="L18" s="82">
        <f t="shared" ref="L18:M18" si="18">$K$6-F18</f>
        <v>65.4118</v>
      </c>
      <c r="M18" s="82">
        <f t="shared" si="18"/>
        <v>63.6418</v>
      </c>
      <c r="N18" s="28"/>
      <c r="O18" s="87" t="s">
        <v>157</v>
      </c>
      <c r="P18" s="84">
        <f t="shared" ref="P18:U18" si="19">P11+P16</f>
        <v>111.6652</v>
      </c>
      <c r="Q18" s="84">
        <f t="shared" si="19"/>
        <v>111.8536</v>
      </c>
      <c r="R18" s="84">
        <f t="shared" si="19"/>
        <v>112.4188</v>
      </c>
      <c r="S18" s="84">
        <f t="shared" si="19"/>
        <v>112.7014</v>
      </c>
      <c r="T18" s="84">
        <f t="shared" si="19"/>
        <v>115.0898</v>
      </c>
      <c r="U18" s="84">
        <f t="shared" si="19"/>
        <v>116.0318</v>
      </c>
      <c r="V18" s="87" t="s">
        <v>157</v>
      </c>
      <c r="W18" s="28"/>
      <c r="X18" s="28"/>
      <c r="Y18" s="28"/>
      <c r="Z18" s="28"/>
      <c r="AA18" s="28"/>
      <c r="AB18" s="28"/>
      <c r="AC18" s="28"/>
    </row>
    <row r="19" ht="15.75" customHeight="1">
      <c r="A19" s="79" t="s">
        <v>15</v>
      </c>
      <c r="B19" s="80">
        <f>B$114+B$127+'1.Distancias'!$B14*'2.Red'!$B$9+'2.Red'!$G$17</f>
        <v>43.386</v>
      </c>
      <c r="C19" s="80">
        <f>C$114+C$127+'1.Distancias'!$B14*'2.Red'!$B$10+'2.Red'!$H$17</f>
        <v>43.648</v>
      </c>
      <c r="D19" s="80">
        <f>D$114+D$127+'1.Distancias'!$B14*'2.Red'!$B$11+'2.Red'!$I$17</f>
        <v>44.434</v>
      </c>
      <c r="E19" s="81">
        <f>E$114+E$127+'1.Distancias'!$B14*'2.Red'!$B$13+'2.Red'!$I$17</f>
        <v>44.827</v>
      </c>
      <c r="F19" s="80">
        <f>F$114+F$127+'1.Distancias'!$B14*'2.Red'!$B$14+'2.Red'!$J$17</f>
        <v>40.789</v>
      </c>
      <c r="G19" s="80">
        <f>G$114+G$127+'1.Distancias'!$B14*'2.Red'!$B$17+'2.Red'!$J$17</f>
        <v>42.099</v>
      </c>
      <c r="H19" s="82">
        <f t="shared" ref="H19:K19" si="20">$K$5-B19</f>
        <v>56.3465</v>
      </c>
      <c r="I19" s="82">
        <f t="shared" si="20"/>
        <v>56.0845</v>
      </c>
      <c r="J19" s="82">
        <f t="shared" si="20"/>
        <v>55.2985</v>
      </c>
      <c r="K19" s="83">
        <f t="shared" si="20"/>
        <v>54.9055</v>
      </c>
      <c r="L19" s="82">
        <f t="shared" ref="L19:M19" si="21">$K$6-F19</f>
        <v>66.2858</v>
      </c>
      <c r="M19" s="82">
        <f t="shared" si="21"/>
        <v>64.9758</v>
      </c>
      <c r="N19" s="28"/>
      <c r="O19" s="87" t="s">
        <v>158</v>
      </c>
      <c r="P19" s="84">
        <f t="shared" ref="P19:U19" si="22">P12+P17</f>
        <v>86.4372</v>
      </c>
      <c r="Q19" s="84">
        <f t="shared" si="22"/>
        <v>77.0496</v>
      </c>
      <c r="R19" s="84">
        <f t="shared" si="22"/>
        <v>96.2268</v>
      </c>
      <c r="S19" s="84">
        <f t="shared" si="22"/>
        <v>97.3254</v>
      </c>
      <c r="T19" s="84">
        <f t="shared" si="22"/>
        <v>96.7578</v>
      </c>
      <c r="U19" s="84">
        <f t="shared" si="22"/>
        <v>100.4198</v>
      </c>
      <c r="V19" s="87" t="s">
        <v>158</v>
      </c>
      <c r="W19" s="28"/>
      <c r="X19" s="28"/>
      <c r="Y19" s="28"/>
      <c r="Z19" s="28"/>
      <c r="AA19" s="28"/>
      <c r="AB19" s="28"/>
      <c r="AC19" s="28"/>
    </row>
    <row r="20" ht="15.75" customHeight="1">
      <c r="A20" s="79" t="s">
        <v>16</v>
      </c>
      <c r="B20" s="80">
        <f>B$114+B$127+'1.Distancias'!$B15*'2.Red'!$B$9+'2.Red'!$G$17</f>
        <v>43.437</v>
      </c>
      <c r="C20" s="80">
        <f>C$114+C$127+'1.Distancias'!$B15*'2.Red'!$B$10+'2.Red'!$H$17</f>
        <v>43.716</v>
      </c>
      <c r="D20" s="80">
        <f>D$114+D$127+'1.Distancias'!$B15*'2.Red'!$B$11+'2.Red'!$I$17</f>
        <v>44.553</v>
      </c>
      <c r="E20" s="81">
        <f>E$114+E$127+'1.Distancias'!$B15*'2.Red'!$B$13+'2.Red'!$I$17</f>
        <v>44.9715</v>
      </c>
      <c r="F20" s="80">
        <f>F$114+F$127+'1.Distancias'!$B15*'2.Red'!$B$14+'2.Red'!$J$17</f>
        <v>40.9505</v>
      </c>
      <c r="G20" s="80">
        <f>G$114+G$127+'1.Distancias'!$B15*'2.Red'!$B$17+'2.Red'!$J$17</f>
        <v>42.3455</v>
      </c>
      <c r="H20" s="82">
        <f t="shared" ref="H20:K20" si="23">$K$5-B20</f>
        <v>56.2955</v>
      </c>
      <c r="I20" s="82">
        <f t="shared" si="23"/>
        <v>56.0165</v>
      </c>
      <c r="J20" s="82">
        <f t="shared" si="23"/>
        <v>55.1795</v>
      </c>
      <c r="K20" s="83">
        <f t="shared" si="23"/>
        <v>54.761</v>
      </c>
      <c r="L20" s="82">
        <f t="shared" ref="L20:M20" si="24">$K$6-F20</f>
        <v>66.1243</v>
      </c>
      <c r="M20" s="82">
        <f t="shared" si="24"/>
        <v>64.7293</v>
      </c>
      <c r="N20" s="28"/>
      <c r="O20" s="87" t="s">
        <v>159</v>
      </c>
      <c r="P20" s="84">
        <f t="shared" ref="P20:U20" si="25">MEDIAN(P18:P19)</f>
        <v>99.0512</v>
      </c>
      <c r="Q20" s="84">
        <f t="shared" si="25"/>
        <v>94.4516</v>
      </c>
      <c r="R20" s="84">
        <f t="shared" si="25"/>
        <v>104.3228</v>
      </c>
      <c r="S20" s="84">
        <f t="shared" si="25"/>
        <v>105.0134</v>
      </c>
      <c r="T20" s="84">
        <f t="shared" si="25"/>
        <v>105.9238</v>
      </c>
      <c r="U20" s="84">
        <f t="shared" si="25"/>
        <v>108.2258</v>
      </c>
      <c r="V20" s="87" t="s">
        <v>159</v>
      </c>
      <c r="W20" s="28"/>
      <c r="X20" s="28"/>
      <c r="Y20" s="28"/>
      <c r="Z20" s="28"/>
      <c r="AA20" s="28"/>
      <c r="AB20" s="28"/>
      <c r="AC20" s="28"/>
    </row>
    <row r="21" ht="15.75" customHeight="1">
      <c r="A21" s="48" t="s">
        <v>17</v>
      </c>
      <c r="B21" s="80">
        <f>B$114+B$128+'1.Distancias'!$B16*'2.Red'!$B$9+'2.Red'!$G$17</f>
        <v>43.3296</v>
      </c>
      <c r="C21" s="80">
        <f>C$114+C$128+'1.Distancias'!$B16*'2.Red'!$B$10+'2.Red'!$H$17</f>
        <v>43.5728</v>
      </c>
      <c r="D21" s="80">
        <f>D$114+D$128+'1.Distancias'!$B16*'2.Red'!$B$11+'2.Red'!$I$17</f>
        <v>44.3024</v>
      </c>
      <c r="E21" s="81">
        <f>E$114+E$128+'1.Distancias'!$B16*'2.Red'!$B$13+'2.Red'!$I$17</f>
        <v>44.6672</v>
      </c>
      <c r="F21" s="80">
        <f>F$114+F$128+'1.Distancias'!$B16*'2.Red'!$B$14+'2.Red'!$J$17</f>
        <v>40.6104</v>
      </c>
      <c r="G21" s="80">
        <f>G$114+G$128+'1.Distancias'!$B16*'2.Red'!$B$17+'2.Red'!$J$17</f>
        <v>41.8264</v>
      </c>
      <c r="H21" s="82">
        <f t="shared" ref="H21:K21" si="26">$K$5-B21</f>
        <v>56.4029</v>
      </c>
      <c r="I21" s="82">
        <f t="shared" si="26"/>
        <v>56.1597</v>
      </c>
      <c r="J21" s="82">
        <f t="shared" si="26"/>
        <v>55.4301</v>
      </c>
      <c r="K21" s="83">
        <f t="shared" si="26"/>
        <v>55.0653</v>
      </c>
      <c r="L21" s="82">
        <f t="shared" ref="L21:M21" si="27">$K$6-F21</f>
        <v>66.4644</v>
      </c>
      <c r="M21" s="82">
        <f t="shared" si="27"/>
        <v>65.2484</v>
      </c>
      <c r="N21" s="28"/>
      <c r="O21" s="29"/>
      <c r="P21" s="29"/>
      <c r="Q21" s="29"/>
      <c r="R21" s="29"/>
      <c r="S21" s="29"/>
      <c r="T21" s="29"/>
      <c r="U21" s="29"/>
      <c r="V21" s="29"/>
      <c r="W21" s="28"/>
      <c r="X21" s="28"/>
      <c r="Y21" s="28"/>
      <c r="Z21" s="28"/>
      <c r="AA21" s="28"/>
      <c r="AB21" s="28"/>
      <c r="AC21" s="28"/>
    </row>
    <row r="22" ht="15.75" customHeight="1">
      <c r="A22" s="48" t="s">
        <v>18</v>
      </c>
      <c r="B22" s="80">
        <f>B$114+B$128+'1.Distancias'!$B17*'2.Red'!$B$9+'2.Red'!$G$17</f>
        <v>43.5516</v>
      </c>
      <c r="C22" s="80">
        <f>C$114+C$128+'1.Distancias'!$B17*'2.Red'!$B$10+'2.Red'!$H$17</f>
        <v>43.8688</v>
      </c>
      <c r="D22" s="80">
        <f>D$114+D$128+'1.Distancias'!$B17*'2.Red'!$B$11+'2.Red'!$I$17</f>
        <v>44.8204</v>
      </c>
      <c r="E22" s="81">
        <f>E$114+E$128+'1.Distancias'!$B17*'2.Red'!$B$13+'2.Red'!$I$17</f>
        <v>45.2962</v>
      </c>
      <c r="F22" s="80">
        <f>F$114+F$128+'1.Distancias'!$B17*'2.Red'!$B$14+'2.Red'!$J$17</f>
        <v>41.3134</v>
      </c>
      <c r="G22" s="80">
        <f>G$114+G$128+'1.Distancias'!$B17*'2.Red'!$B$17+'2.Red'!$J$17</f>
        <v>42.8994</v>
      </c>
      <c r="H22" s="82">
        <f t="shared" ref="H22:K22" si="28">$K$5-B22</f>
        <v>56.1809</v>
      </c>
      <c r="I22" s="82">
        <f t="shared" si="28"/>
        <v>55.8637</v>
      </c>
      <c r="J22" s="82">
        <f t="shared" si="28"/>
        <v>54.9121</v>
      </c>
      <c r="K22" s="83">
        <f t="shared" si="28"/>
        <v>54.4363</v>
      </c>
      <c r="L22" s="82">
        <f t="shared" ref="L22:M22" si="29">$K$6-F22</f>
        <v>65.7614</v>
      </c>
      <c r="M22" s="82">
        <f t="shared" si="29"/>
        <v>64.1754</v>
      </c>
      <c r="N22" s="28"/>
      <c r="O22" s="69" t="s">
        <v>160</v>
      </c>
      <c r="P22" s="70" t="s">
        <v>133</v>
      </c>
      <c r="Q22" s="70" t="s">
        <v>134</v>
      </c>
      <c r="R22" s="71" t="s">
        <v>135</v>
      </c>
      <c r="S22" s="72"/>
      <c r="T22" s="71" t="s">
        <v>136</v>
      </c>
      <c r="U22" s="72"/>
      <c r="V22" s="69" t="s">
        <v>160</v>
      </c>
      <c r="W22" s="28"/>
      <c r="X22" s="28"/>
      <c r="Y22" s="28"/>
      <c r="Z22" s="28"/>
      <c r="AA22" s="28"/>
      <c r="AB22" s="28"/>
      <c r="AC22" s="28"/>
    </row>
    <row r="23" ht="15.75" customHeight="1">
      <c r="A23" s="48" t="s">
        <v>19</v>
      </c>
      <c r="B23" s="80">
        <f>B$114+B$128+'1.Distancias'!$B18*'2.Red'!$B$9+'2.Red'!$G$17</f>
        <v>43.4964</v>
      </c>
      <c r="C23" s="80">
        <f>C$114+C$128+'1.Distancias'!$B18*'2.Red'!$B$10+'2.Red'!$H$17</f>
        <v>43.7952</v>
      </c>
      <c r="D23" s="80">
        <f>D$114+D$128+'1.Distancias'!$B18*'2.Red'!$B$11+'2.Red'!$I$17</f>
        <v>44.6916</v>
      </c>
      <c r="E23" s="81">
        <f>E$114+E$128+'1.Distancias'!$B18*'2.Red'!$B$13+'2.Red'!$I$17</f>
        <v>45.1398</v>
      </c>
      <c r="F23" s="80">
        <f>F$114+F$128+'1.Distancias'!$B18*'2.Red'!$B$14+'2.Red'!$J$17</f>
        <v>41.1386</v>
      </c>
      <c r="G23" s="80">
        <f>G$114+G$128+'1.Distancias'!$B18*'2.Red'!$B$17+'2.Red'!$J$17</f>
        <v>42.6326</v>
      </c>
      <c r="H23" s="82">
        <f t="shared" ref="H23:K23" si="30">$K$5-B23</f>
        <v>56.2361</v>
      </c>
      <c r="I23" s="82">
        <f t="shared" si="30"/>
        <v>55.9373</v>
      </c>
      <c r="J23" s="82">
        <f t="shared" si="30"/>
        <v>55.0409</v>
      </c>
      <c r="K23" s="83">
        <f t="shared" si="30"/>
        <v>54.5927</v>
      </c>
      <c r="L23" s="82">
        <f t="shared" ref="L23:M23" si="31">$K$6-F23</f>
        <v>65.9362</v>
      </c>
      <c r="M23" s="82">
        <f t="shared" si="31"/>
        <v>64.4422</v>
      </c>
      <c r="N23" s="28"/>
      <c r="O23" s="77"/>
      <c r="P23" s="70" t="s">
        <v>147</v>
      </c>
      <c r="Q23" s="70" t="s">
        <v>148</v>
      </c>
      <c r="R23" s="78" t="s">
        <v>149</v>
      </c>
      <c r="S23" s="78" t="s">
        <v>150</v>
      </c>
      <c r="T23" s="78" t="s">
        <v>151</v>
      </c>
      <c r="U23" s="78" t="s">
        <v>152</v>
      </c>
      <c r="V23" s="77"/>
      <c r="W23" s="28"/>
      <c r="X23" s="28"/>
      <c r="Y23" s="28"/>
      <c r="Z23" s="28"/>
      <c r="AA23" s="28"/>
      <c r="AB23" s="28"/>
      <c r="AC23" s="28"/>
    </row>
    <row r="24" ht="15.75" customHeight="1">
      <c r="A24" s="48" t="s">
        <v>20</v>
      </c>
      <c r="B24" s="80">
        <f>B$114+B$128+'1.Distancias'!$B19*'2.Red'!$B$9+'2.Red'!$G$17</f>
        <v>43.2204</v>
      </c>
      <c r="C24" s="80">
        <f>C$114+C$128+'1.Distancias'!$B19*'2.Red'!$B$10+'2.Red'!$H$17</f>
        <v>43.4272</v>
      </c>
      <c r="D24" s="80">
        <f>D$114+D$128+'1.Distancias'!$B19*'2.Red'!$B$11+'2.Red'!$I$17</f>
        <v>44.0476</v>
      </c>
      <c r="E24" s="81">
        <f>E$114+E$128+'1.Distancias'!$B19*'2.Red'!$B$13+'2.Red'!$I$17</f>
        <v>44.3578</v>
      </c>
      <c r="F24" s="80">
        <f>F$114+F$128+'1.Distancias'!$B19*'2.Red'!$B$14+'2.Red'!$J$17</f>
        <v>40.2646</v>
      </c>
      <c r="G24" s="80">
        <f>G$114+G$128+'1.Distancias'!$B19*'2.Red'!$B$17+'2.Red'!$J$17</f>
        <v>41.2986</v>
      </c>
      <c r="H24" s="82">
        <f t="shared" ref="H24:K24" si="32">$K$5-B24</f>
        <v>56.5121</v>
      </c>
      <c r="I24" s="82">
        <f t="shared" si="32"/>
        <v>56.3053</v>
      </c>
      <c r="J24" s="82">
        <f t="shared" si="32"/>
        <v>55.6849</v>
      </c>
      <c r="K24" s="83">
        <f t="shared" si="32"/>
        <v>55.3747</v>
      </c>
      <c r="L24" s="82">
        <f t="shared" ref="L24:M24" si="33">$K$6-F24</f>
        <v>66.8102</v>
      </c>
      <c r="M24" s="82">
        <f t="shared" si="33"/>
        <v>65.7762</v>
      </c>
      <c r="N24" s="28"/>
      <c r="O24" s="87" t="s">
        <v>161</v>
      </c>
      <c r="P24" s="84">
        <f t="shared" ref="P24:U24" si="34">H98</f>
        <v>53.2953</v>
      </c>
      <c r="Q24" s="84">
        <f t="shared" si="34"/>
        <v>52.6829</v>
      </c>
      <c r="R24" s="84">
        <f t="shared" si="34"/>
        <v>50.5057</v>
      </c>
      <c r="S24" s="84">
        <f t="shared" si="34"/>
        <v>49.4071</v>
      </c>
      <c r="T24" s="84">
        <f t="shared" si="34"/>
        <v>57.317</v>
      </c>
      <c r="U24" s="84">
        <f t="shared" si="34"/>
        <v>53.655</v>
      </c>
      <c r="V24" s="87" t="s">
        <v>161</v>
      </c>
      <c r="W24" s="28"/>
      <c r="X24" s="28"/>
      <c r="Y24" s="28"/>
      <c r="Z24" s="28"/>
      <c r="AA24" s="28"/>
      <c r="AB24" s="28"/>
      <c r="AC24" s="28"/>
    </row>
    <row r="25" ht="15.75" customHeight="1">
      <c r="A25" s="48" t="s">
        <v>21</v>
      </c>
      <c r="B25" s="80">
        <f>B$114+B$128+'1.Distancias'!$B20*'2.Red'!$B$9+'2.Red'!$G$17</f>
        <v>43.2714</v>
      </c>
      <c r="C25" s="80">
        <f>C$114+C$128+'1.Distancias'!$B20*'2.Red'!$B$10+'2.Red'!$H$17</f>
        <v>43.4952</v>
      </c>
      <c r="D25" s="80">
        <f>D$114+D$128+'1.Distancias'!$B20*'2.Red'!$B$11+'2.Red'!$I$17</f>
        <v>44.1666</v>
      </c>
      <c r="E25" s="81">
        <f>E$114+E$128+'1.Distancias'!$B20*'2.Red'!$B$13+'2.Red'!$I$17</f>
        <v>44.5023</v>
      </c>
      <c r="F25" s="80">
        <f>F$114+F$128+'1.Distancias'!$B20*'2.Red'!$B$14+'2.Red'!$J$17</f>
        <v>40.4261</v>
      </c>
      <c r="G25" s="80">
        <f>G$114+G$128+'1.Distancias'!$B20*'2.Red'!$B$17+'2.Red'!$J$17</f>
        <v>41.5451</v>
      </c>
      <c r="H25" s="82">
        <f t="shared" ref="H25:K25" si="35">$K$5-B25</f>
        <v>56.4611</v>
      </c>
      <c r="I25" s="82">
        <f t="shared" si="35"/>
        <v>56.2373</v>
      </c>
      <c r="J25" s="82">
        <f t="shared" si="35"/>
        <v>55.5659</v>
      </c>
      <c r="K25" s="83">
        <f t="shared" si="35"/>
        <v>55.2302</v>
      </c>
      <c r="L25" s="82">
        <f t="shared" ref="L25:M25" si="36">$K$6-F25</f>
        <v>66.6487</v>
      </c>
      <c r="M25" s="82">
        <f t="shared" si="36"/>
        <v>65.5297</v>
      </c>
      <c r="N25" s="28"/>
      <c r="O25" s="87" t="s">
        <v>162</v>
      </c>
      <c r="P25" s="84">
        <f t="shared" ref="P25:U25" si="37">H97</f>
        <v>58.0673</v>
      </c>
      <c r="Q25" s="84">
        <f t="shared" si="37"/>
        <v>57.8789</v>
      </c>
      <c r="R25" s="84">
        <f t="shared" si="37"/>
        <v>57.3137</v>
      </c>
      <c r="S25" s="84">
        <f t="shared" si="37"/>
        <v>57.0311</v>
      </c>
      <c r="T25" s="84">
        <f t="shared" si="37"/>
        <v>68.985</v>
      </c>
      <c r="U25" s="84">
        <f t="shared" si="37"/>
        <v>68.043</v>
      </c>
      <c r="V25" s="87" t="s">
        <v>162</v>
      </c>
      <c r="W25" s="28"/>
      <c r="X25" s="28"/>
      <c r="Y25" s="28"/>
      <c r="Z25" s="28"/>
      <c r="AA25" s="28"/>
      <c r="AB25" s="28"/>
      <c r="AC25" s="28"/>
    </row>
    <row r="26" ht="15.75" customHeight="1">
      <c r="A26" s="48" t="s">
        <v>22</v>
      </c>
      <c r="B26" s="80">
        <f>B$115+B$129+'1.Distancias'!$B21*'2.Red'!$B$9+'2.Red'!$G$17</f>
        <v>45.1752</v>
      </c>
      <c r="C26" s="80">
        <f>C$115+C$129+'1.Distancias'!$B21*'2.Red'!$B$10+'2.Red'!$H$17</f>
        <v>45.5336</v>
      </c>
      <c r="D26" s="80">
        <f>D$115+D$129+'1.Distancias'!$B21*'2.Red'!$B$11+'2.Red'!$I$17</f>
        <v>46.6088</v>
      </c>
      <c r="E26" s="81">
        <f>E$115+E$129+'1.Distancias'!$B21*'2.Red'!$B$13+'2.Red'!$I$17</f>
        <v>47.1464</v>
      </c>
      <c r="F26" s="80">
        <f>F$115+F$129+'1.Distancias'!$B21*'2.Red'!$B$14+'2.Red'!$J$17</f>
        <v>43.7048</v>
      </c>
      <c r="G26" s="80">
        <f>G$115+G$129+'1.Distancias'!$B21*'2.Red'!$B$17+'2.Red'!$J$17</f>
        <v>45.4968</v>
      </c>
      <c r="H26" s="82">
        <f t="shared" ref="H26:K26" si="38">$K$5-B26</f>
        <v>54.5573</v>
      </c>
      <c r="I26" s="82">
        <f t="shared" si="38"/>
        <v>54.1989</v>
      </c>
      <c r="J26" s="82">
        <f t="shared" si="38"/>
        <v>53.1237</v>
      </c>
      <c r="K26" s="83">
        <f t="shared" si="38"/>
        <v>52.5861</v>
      </c>
      <c r="L26" s="82">
        <f t="shared" ref="L26:M26" si="39">$K$6-F26</f>
        <v>63.37</v>
      </c>
      <c r="M26" s="82">
        <f t="shared" si="39"/>
        <v>61.578</v>
      </c>
      <c r="N26" s="28"/>
      <c r="O26" s="78" t="s">
        <v>163</v>
      </c>
      <c r="P26" s="88" t="s">
        <v>164</v>
      </c>
      <c r="Q26" s="88" t="s">
        <v>164</v>
      </c>
      <c r="R26" s="89">
        <f t="shared" ref="R26:S26" si="40">R25-R24</f>
        <v>6.808</v>
      </c>
      <c r="S26" s="89">
        <f t="shared" si="40"/>
        <v>7.624</v>
      </c>
      <c r="T26" s="88" t="s">
        <v>164</v>
      </c>
      <c r="U26" s="88" t="s">
        <v>164</v>
      </c>
      <c r="V26" s="78" t="s">
        <v>163</v>
      </c>
      <c r="W26" s="28"/>
      <c r="X26" s="28"/>
      <c r="Y26" s="28"/>
      <c r="Z26" s="28"/>
      <c r="AA26" s="28"/>
      <c r="AB26" s="28"/>
      <c r="AC26" s="28"/>
    </row>
    <row r="27" ht="15.75" customHeight="1">
      <c r="A27" s="48" t="s">
        <v>23</v>
      </c>
      <c r="B27" s="80">
        <f>B$115+B$129+'1.Distancias'!$B22*'2.Red'!$B$9+'2.Red'!$G$17</f>
        <v>45.3972</v>
      </c>
      <c r="C27" s="80">
        <f>C$115+C$129+'1.Distancias'!$B22*'2.Red'!$B$10+'2.Red'!$H$17</f>
        <v>45.8296</v>
      </c>
      <c r="D27" s="80">
        <f>D$115+D$129+'1.Distancias'!$B22*'2.Red'!$B$11+'2.Red'!$I$17</f>
        <v>47.1268</v>
      </c>
      <c r="E27" s="81">
        <f>E$115+E$129+'1.Distancias'!$B22*'2.Red'!$B$13+'2.Red'!$I$17</f>
        <v>47.7754</v>
      </c>
      <c r="F27" s="80">
        <f>F$115+F$129+'1.Distancias'!$B22*'2.Red'!$B$14+'2.Red'!$J$17</f>
        <v>44.4078</v>
      </c>
      <c r="G27" s="80">
        <f>G$115+G$129+'1.Distancias'!$B22*'2.Red'!$B$17+'2.Red'!$J$17</f>
        <v>46.5698</v>
      </c>
      <c r="H27" s="82">
        <f t="shared" ref="H27:K27" si="41">$K$5-B27</f>
        <v>54.3353</v>
      </c>
      <c r="I27" s="82">
        <f t="shared" si="41"/>
        <v>53.9029</v>
      </c>
      <c r="J27" s="82">
        <f t="shared" si="41"/>
        <v>52.6057</v>
      </c>
      <c r="K27" s="83">
        <f t="shared" si="41"/>
        <v>51.9571</v>
      </c>
      <c r="L27" s="82">
        <f t="shared" ref="L27:M27" si="42">$K$6-F27</f>
        <v>62.667</v>
      </c>
      <c r="M27" s="82">
        <f t="shared" si="42"/>
        <v>60.505</v>
      </c>
      <c r="N27" s="28"/>
      <c r="O27" s="87" t="s">
        <v>165</v>
      </c>
      <c r="P27" s="90" t="s">
        <v>164</v>
      </c>
      <c r="Q27" s="90" t="s">
        <v>164</v>
      </c>
      <c r="R27" s="84" t="str">
        <f t="shared" ref="R27:S27" si="43">IF(R26&lt;=12,"SI","NO")</f>
        <v>SI</v>
      </c>
      <c r="S27" s="84" t="str">
        <f t="shared" si="43"/>
        <v>SI</v>
      </c>
      <c r="T27" s="90" t="s">
        <v>164</v>
      </c>
      <c r="U27" s="90" t="s">
        <v>164</v>
      </c>
      <c r="V27" s="87" t="s">
        <v>165</v>
      </c>
      <c r="W27" s="28"/>
      <c r="X27" s="29"/>
      <c r="Y27" s="29"/>
      <c r="Z27" s="28"/>
      <c r="AA27" s="28"/>
      <c r="AB27" s="28"/>
      <c r="AC27" s="28"/>
    </row>
    <row r="28" ht="15.75" customHeight="1">
      <c r="A28" s="48" t="s">
        <v>24</v>
      </c>
      <c r="B28" s="80">
        <f>B$115+B$129+'1.Distancias'!$B23*'2.Red'!$B$9+'2.Red'!$G$17</f>
        <v>45.342</v>
      </c>
      <c r="C28" s="80">
        <f>C$115+C$129+'1.Distancias'!$B23*'2.Red'!$B$10+'2.Red'!$H$17</f>
        <v>45.756</v>
      </c>
      <c r="D28" s="80">
        <f>D$115+D$129+'1.Distancias'!$B23*'2.Red'!$B$11+'2.Red'!$I$17</f>
        <v>46.998</v>
      </c>
      <c r="E28" s="81">
        <f>E$115+E$129+'1.Distancias'!$B23*'2.Red'!$B$13+'2.Red'!$I$17</f>
        <v>47.619</v>
      </c>
      <c r="F28" s="80">
        <f>F$115+F$129+'1.Distancias'!$B23*'2.Red'!$B$14+'2.Red'!$J$17</f>
        <v>44.233</v>
      </c>
      <c r="G28" s="80">
        <f>G$115+G$129+'1.Distancias'!$B23*'2.Red'!$B$17+'2.Red'!$J$17</f>
        <v>46.303</v>
      </c>
      <c r="H28" s="82">
        <f t="shared" ref="H28:K28" si="44">$K$5-B28</f>
        <v>54.3905</v>
      </c>
      <c r="I28" s="82">
        <f t="shared" si="44"/>
        <v>53.9765</v>
      </c>
      <c r="J28" s="82">
        <f t="shared" si="44"/>
        <v>52.7345</v>
      </c>
      <c r="K28" s="83">
        <f t="shared" si="44"/>
        <v>52.1135</v>
      </c>
      <c r="L28" s="82">
        <f t="shared" ref="L28:M28" si="45">$K$6-F28</f>
        <v>62.8418</v>
      </c>
      <c r="M28" s="82">
        <f t="shared" si="45"/>
        <v>60.7718</v>
      </c>
      <c r="N28" s="28"/>
      <c r="O28" s="29"/>
      <c r="P28" s="29"/>
      <c r="Q28" s="29"/>
      <c r="R28" s="29"/>
      <c r="S28" s="29"/>
      <c r="T28" s="29"/>
      <c r="U28" s="29"/>
      <c r="V28" s="29"/>
      <c r="W28" s="28"/>
      <c r="X28" s="29"/>
      <c r="Y28" s="29"/>
      <c r="Z28" s="28"/>
      <c r="AA28" s="28"/>
      <c r="AB28" s="28"/>
      <c r="AC28" s="28"/>
    </row>
    <row r="29" ht="15.75" customHeight="1">
      <c r="A29" s="48" t="s">
        <v>25</v>
      </c>
      <c r="B29" s="80">
        <f>B$115+B$129+'1.Distancias'!$B24*'2.Red'!$B$9+'2.Red'!$G$17</f>
        <v>45.066</v>
      </c>
      <c r="C29" s="80">
        <f>C$115+C$129+'1.Distancias'!$B24*'2.Red'!$B$10+'2.Red'!$H$17</f>
        <v>45.388</v>
      </c>
      <c r="D29" s="80">
        <f>D$115+D$129+'1.Distancias'!$B24*'2.Red'!$B$11+'2.Red'!$I$17</f>
        <v>46.354</v>
      </c>
      <c r="E29" s="81">
        <f>E$115+E$129+'1.Distancias'!$B24*'2.Red'!$B$13+'2.Red'!$I$17</f>
        <v>46.837</v>
      </c>
      <c r="F29" s="80">
        <f>F$115+F$129+'1.Distancias'!$B24*'2.Red'!$B$14+'2.Red'!$J$17</f>
        <v>43.359</v>
      </c>
      <c r="G29" s="80">
        <f>G$115+G$129+'1.Distancias'!$B24*'2.Red'!$B$17+'2.Red'!$J$17</f>
        <v>44.969</v>
      </c>
      <c r="H29" s="82">
        <f t="shared" ref="H29:K29" si="46">$K$5-B29</f>
        <v>54.6665</v>
      </c>
      <c r="I29" s="82">
        <f t="shared" si="46"/>
        <v>54.3445</v>
      </c>
      <c r="J29" s="82">
        <f t="shared" si="46"/>
        <v>53.3785</v>
      </c>
      <c r="K29" s="83">
        <f t="shared" si="46"/>
        <v>52.8955</v>
      </c>
      <c r="L29" s="82">
        <f t="shared" ref="L29:M29" si="47">$K$6-F29</f>
        <v>63.7158</v>
      </c>
      <c r="M29" s="82">
        <f t="shared" si="47"/>
        <v>62.1058</v>
      </c>
      <c r="N29" s="28"/>
      <c r="O29" s="69" t="s">
        <v>166</v>
      </c>
      <c r="P29" s="91" t="s">
        <v>167</v>
      </c>
      <c r="Q29" s="92"/>
      <c r="R29" s="92"/>
      <c r="S29" s="72"/>
      <c r="T29" s="71" t="s">
        <v>136</v>
      </c>
      <c r="U29" s="72"/>
      <c r="V29" s="69" t="s">
        <v>166</v>
      </c>
      <c r="W29" s="28"/>
      <c r="X29" s="29"/>
      <c r="Y29" s="29"/>
      <c r="Z29" s="28"/>
      <c r="AA29" s="28"/>
      <c r="AB29" s="28"/>
      <c r="AC29" s="28"/>
    </row>
    <row r="30" ht="15.75" customHeight="1">
      <c r="A30" s="48" t="s">
        <v>26</v>
      </c>
      <c r="B30" s="80">
        <f>B$115+B$129+'1.Distancias'!$B25*'2.Red'!$B$9+'2.Red'!$G$17</f>
        <v>45.117</v>
      </c>
      <c r="C30" s="80">
        <f>C$115+C$129+'1.Distancias'!$B25*'2.Red'!$B$10+'2.Red'!$H$17</f>
        <v>45.456</v>
      </c>
      <c r="D30" s="80">
        <f>D$115+D$129+'1.Distancias'!$B25*'2.Red'!$B$11+'2.Red'!$I$17</f>
        <v>46.473</v>
      </c>
      <c r="E30" s="81">
        <f>E$115+E$129+'1.Distancias'!$B25*'2.Red'!$B$13+'2.Red'!$I$17</f>
        <v>46.9815</v>
      </c>
      <c r="F30" s="80">
        <f>F$115+F$129+'1.Distancias'!$B25*'2.Red'!$B$14+'2.Red'!$J$17</f>
        <v>43.5205</v>
      </c>
      <c r="G30" s="80">
        <f>G$115+G$129+'1.Distancias'!$B25*'2.Red'!$B$17+'2.Red'!$J$17</f>
        <v>45.2155</v>
      </c>
      <c r="H30" s="82">
        <f t="shared" ref="H30:K30" si="48">$K$5-B30</f>
        <v>54.6155</v>
      </c>
      <c r="I30" s="82">
        <f t="shared" si="48"/>
        <v>54.2765</v>
      </c>
      <c r="J30" s="82">
        <f t="shared" si="48"/>
        <v>53.2595</v>
      </c>
      <c r="K30" s="83">
        <f t="shared" si="48"/>
        <v>52.751</v>
      </c>
      <c r="L30" s="82">
        <f t="shared" ref="L30:M30" si="49">$K$6-F30</f>
        <v>63.5543</v>
      </c>
      <c r="M30" s="82">
        <f t="shared" si="49"/>
        <v>61.8593</v>
      </c>
      <c r="N30" s="28"/>
      <c r="O30" s="77"/>
      <c r="P30" s="91" t="s">
        <v>168</v>
      </c>
      <c r="Q30" s="72"/>
      <c r="R30" s="91" t="s">
        <v>150</v>
      </c>
      <c r="S30" s="72"/>
      <c r="T30" s="78" t="s">
        <v>151</v>
      </c>
      <c r="U30" s="78" t="s">
        <v>152</v>
      </c>
      <c r="V30" s="77"/>
      <c r="W30" s="28"/>
      <c r="X30" s="93"/>
      <c r="Y30" s="93" t="s">
        <v>169</v>
      </c>
      <c r="Z30" s="28"/>
      <c r="AA30" s="28"/>
      <c r="AB30" s="28"/>
      <c r="AC30" s="28"/>
    </row>
    <row r="31" ht="15.75" customHeight="1">
      <c r="A31" s="48" t="s">
        <v>27</v>
      </c>
      <c r="B31" s="80">
        <f>B$115+B$130+'1.Distancias'!$B26*'2.Red'!$B$9+'2.Red'!$G$17</f>
        <v>45.0096</v>
      </c>
      <c r="C31" s="80">
        <f>C$115+C$130+'1.Distancias'!$B26*'2.Red'!$B$10+'2.Red'!$H$17</f>
        <v>45.3128</v>
      </c>
      <c r="D31" s="80">
        <f>D$115+D$130+'1.Distancias'!$B26*'2.Red'!$B$11+'2.Red'!$I$17</f>
        <v>46.2224</v>
      </c>
      <c r="E31" s="81">
        <f>E$115+E$130+'1.Distancias'!$B26*'2.Red'!$B$13+'2.Red'!$I$17</f>
        <v>46.6772</v>
      </c>
      <c r="F31" s="80">
        <f>F$115+F$130+'1.Distancias'!$B26*'2.Red'!$B$14+'2.Red'!$J$17</f>
        <v>43.1804</v>
      </c>
      <c r="G31" s="80">
        <f>G$115+G$130+'1.Distancias'!$B26*'2.Red'!$B$17+'2.Red'!$J$17</f>
        <v>44.6964</v>
      </c>
      <c r="H31" s="82">
        <f t="shared" ref="H31:K31" si="50">$K$5-B31</f>
        <v>54.7229</v>
      </c>
      <c r="I31" s="82">
        <f t="shared" si="50"/>
        <v>54.4197</v>
      </c>
      <c r="J31" s="82">
        <f t="shared" si="50"/>
        <v>53.5101</v>
      </c>
      <c r="K31" s="83">
        <f t="shared" si="50"/>
        <v>53.0553</v>
      </c>
      <c r="L31" s="82">
        <f t="shared" ref="L31:M31" si="51">$K$6-F31</f>
        <v>63.8944</v>
      </c>
      <c r="M31" s="82">
        <f t="shared" si="51"/>
        <v>62.3784</v>
      </c>
      <c r="N31" s="28"/>
      <c r="O31" s="87" t="s">
        <v>170</v>
      </c>
      <c r="P31" s="94">
        <f>36.63*('2.Red'!B13-'2.Red'!B8)</f>
        <v>5.1282</v>
      </c>
      <c r="Q31" s="92"/>
      <c r="R31" s="92"/>
      <c r="S31" s="72"/>
      <c r="T31" s="94">
        <f>36.63*('2.Red'!B17-'2.Red'!B14)</f>
        <v>3.663</v>
      </c>
      <c r="U31" s="72"/>
      <c r="V31" s="87" t="s">
        <v>170</v>
      </c>
      <c r="W31" s="28"/>
      <c r="X31" s="93" t="s">
        <v>171</v>
      </c>
      <c r="Y31" s="90">
        <v>0.5</v>
      </c>
      <c r="Z31" s="28"/>
      <c r="AA31" s="28"/>
      <c r="AB31" s="28"/>
      <c r="AC31" s="28"/>
    </row>
    <row r="32" ht="15.75" customHeight="1">
      <c r="A32" s="48" t="s">
        <v>28</v>
      </c>
      <c r="B32" s="80">
        <f>B$115+B$130+'1.Distancias'!$B27*'2.Red'!$B$9+'2.Red'!$G$17</f>
        <v>45.2316</v>
      </c>
      <c r="C32" s="80">
        <f>C$115+C$130+'1.Distancias'!$B27*'2.Red'!$B$10+'2.Red'!$H$17</f>
        <v>45.6088</v>
      </c>
      <c r="D32" s="80">
        <f>D$115+D$130+'1.Distancias'!$B27*'2.Red'!$B$11+'2.Red'!$I$17</f>
        <v>46.7404</v>
      </c>
      <c r="E32" s="81">
        <f>E$115+E$130+'1.Distancias'!$B27*'2.Red'!$B$13+'2.Red'!$I$17</f>
        <v>47.3062</v>
      </c>
      <c r="F32" s="80">
        <f>F$115+F$130+'1.Distancias'!$B27*'2.Red'!$B$14+'2.Red'!$J$17</f>
        <v>43.8834</v>
      </c>
      <c r="G32" s="80">
        <f>G$115+G$130+'1.Distancias'!$B27*'2.Red'!$B$17+'2.Red'!$J$17</f>
        <v>45.7694</v>
      </c>
      <c r="H32" s="82">
        <f t="shared" ref="H32:K32" si="52">$K$5-B32</f>
        <v>54.5009</v>
      </c>
      <c r="I32" s="82">
        <f t="shared" si="52"/>
        <v>54.1237</v>
      </c>
      <c r="J32" s="82">
        <f t="shared" si="52"/>
        <v>52.9921</v>
      </c>
      <c r="K32" s="83">
        <f t="shared" si="52"/>
        <v>52.4263</v>
      </c>
      <c r="L32" s="82">
        <f t="shared" ref="L32:M32" si="53">$K$6-F32</f>
        <v>63.1914</v>
      </c>
      <c r="M32" s="82">
        <f t="shared" si="53"/>
        <v>61.3054</v>
      </c>
      <c r="N32" s="28"/>
      <c r="O32" s="87" t="s">
        <v>172</v>
      </c>
      <c r="P32" s="95">
        <f>2*($Y$31+8*$Y$32+$Y$33+$Y$34)</f>
        <v>7.3</v>
      </c>
      <c r="Q32" s="92"/>
      <c r="R32" s="92"/>
      <c r="S32" s="72"/>
      <c r="T32" s="95">
        <f>2*($Y$31+8*$Y$32+$Y$33+$Y$34)</f>
        <v>7.3</v>
      </c>
      <c r="U32" s="72"/>
      <c r="V32" s="87" t="s">
        <v>172</v>
      </c>
      <c r="W32" s="28"/>
      <c r="X32" s="93" t="s">
        <v>173</v>
      </c>
      <c r="Y32" s="90">
        <v>0.3</v>
      </c>
      <c r="Z32" s="28"/>
      <c r="AA32" s="28"/>
      <c r="AB32" s="28"/>
      <c r="AC32" s="28"/>
    </row>
    <row r="33" ht="15.75" customHeight="1">
      <c r="A33" s="48" t="s">
        <v>29</v>
      </c>
      <c r="B33" s="80">
        <f>B$115+B$130+'1.Distancias'!$B28*'2.Red'!$B$9+'2.Red'!$G$17</f>
        <v>45.1764</v>
      </c>
      <c r="C33" s="80">
        <f>C$115+C$130+'1.Distancias'!$B28*'2.Red'!$B$10+'2.Red'!$H$17</f>
        <v>45.5352</v>
      </c>
      <c r="D33" s="80">
        <f>D$115+D$130+'1.Distancias'!$B28*'2.Red'!$B$11+'2.Red'!$I$17</f>
        <v>46.6116</v>
      </c>
      <c r="E33" s="81">
        <f>E$115+E$130+'1.Distancias'!$B28*'2.Red'!$B$13+'2.Red'!$I$17</f>
        <v>47.1498</v>
      </c>
      <c r="F33" s="80">
        <f>F$115+F$130+'1.Distancias'!$B28*'2.Red'!$B$14+'2.Red'!$J$17</f>
        <v>43.7086</v>
      </c>
      <c r="G33" s="80">
        <f>G$115+G$130+'1.Distancias'!$B28*'2.Red'!$B$17+'2.Red'!$J$17</f>
        <v>45.5026</v>
      </c>
      <c r="H33" s="82">
        <f t="shared" ref="H33:K33" si="54">$K$5-B33</f>
        <v>54.5561</v>
      </c>
      <c r="I33" s="82">
        <f t="shared" si="54"/>
        <v>54.1973</v>
      </c>
      <c r="J33" s="82">
        <f t="shared" si="54"/>
        <v>53.1209</v>
      </c>
      <c r="K33" s="83">
        <f t="shared" si="54"/>
        <v>52.5827</v>
      </c>
      <c r="L33" s="82">
        <f t="shared" ref="L33:M33" si="55">$K$6-F33</f>
        <v>63.3662</v>
      </c>
      <c r="M33" s="82">
        <f t="shared" si="55"/>
        <v>61.5722</v>
      </c>
      <c r="N33" s="28"/>
      <c r="O33" s="78" t="s">
        <v>174</v>
      </c>
      <c r="P33" s="96">
        <f>SUM(P31:P32)</f>
        <v>12.4282</v>
      </c>
      <c r="Q33" s="92"/>
      <c r="R33" s="92"/>
      <c r="S33" s="72"/>
      <c r="T33" s="96">
        <f>SUM(T31:U32)</f>
        <v>10.963</v>
      </c>
      <c r="U33" s="72"/>
      <c r="V33" s="78" t="s">
        <v>174</v>
      </c>
      <c r="W33" s="28"/>
      <c r="X33" s="93" t="s">
        <v>175</v>
      </c>
      <c r="Y33" s="90">
        <v>0.25</v>
      </c>
      <c r="Z33" s="28"/>
      <c r="AA33" s="28"/>
      <c r="AB33" s="28"/>
      <c r="AC33" s="28"/>
    </row>
    <row r="34" ht="15.75" customHeight="1">
      <c r="A34" s="48" t="s">
        <v>30</v>
      </c>
      <c r="B34" s="80">
        <f>B$115+B$130+'1.Distancias'!$B29*'2.Red'!$B$9+'2.Red'!$G$17</f>
        <v>44.9004</v>
      </c>
      <c r="C34" s="80">
        <f>C$115+C$130+'1.Distancias'!$B29*'2.Red'!$B$10+'2.Red'!$H$17</f>
        <v>45.1672</v>
      </c>
      <c r="D34" s="80">
        <f>D$115+D$130+'1.Distancias'!$B29*'2.Red'!$B$11+'2.Red'!$I$17</f>
        <v>45.9676</v>
      </c>
      <c r="E34" s="81">
        <f>E$115+E$130+'1.Distancias'!$B29*'2.Red'!$B$13+'2.Red'!$I$17</f>
        <v>46.3678</v>
      </c>
      <c r="F34" s="80">
        <f>F$115+F$130+'1.Distancias'!$B29*'2.Red'!$B$14+'2.Red'!$J$17</f>
        <v>42.8346</v>
      </c>
      <c r="G34" s="80">
        <f>G$115+G$130+'1.Distancias'!$B29*'2.Red'!$B$17+'2.Red'!$J$17</f>
        <v>44.1686</v>
      </c>
      <c r="H34" s="82">
        <f t="shared" ref="H34:K34" si="56">$K$5-B34</f>
        <v>54.8321</v>
      </c>
      <c r="I34" s="82">
        <f t="shared" si="56"/>
        <v>54.5653</v>
      </c>
      <c r="J34" s="82">
        <f t="shared" si="56"/>
        <v>53.7649</v>
      </c>
      <c r="K34" s="83">
        <f t="shared" si="56"/>
        <v>53.3647</v>
      </c>
      <c r="L34" s="82">
        <f t="shared" ref="L34:M34" si="57">$K$6-F34</f>
        <v>64.2402</v>
      </c>
      <c r="M34" s="82">
        <f t="shared" si="57"/>
        <v>62.9062</v>
      </c>
      <c r="N34" s="28"/>
      <c r="O34" s="87" t="s">
        <v>176</v>
      </c>
      <c r="P34" s="97" t="str">
        <f>IF(P33&lt;=16,"SI","NO")</f>
        <v>SI</v>
      </c>
      <c r="Q34" s="92"/>
      <c r="R34" s="92"/>
      <c r="S34" s="72"/>
      <c r="T34" s="97" t="str">
        <f>IF(T33&lt;=16,"SI","NO")</f>
        <v>SI</v>
      </c>
      <c r="U34" s="72"/>
      <c r="V34" s="87" t="s">
        <v>176</v>
      </c>
      <c r="W34" s="28"/>
      <c r="X34" s="93" t="s">
        <v>177</v>
      </c>
      <c r="Y34" s="90">
        <v>0.5</v>
      </c>
      <c r="Z34" s="28"/>
      <c r="AA34" s="28"/>
      <c r="AB34" s="28"/>
      <c r="AC34" s="28"/>
    </row>
    <row r="35" ht="15.75" customHeight="1">
      <c r="A35" s="48" t="s">
        <v>31</v>
      </c>
      <c r="B35" s="80">
        <f>B$115+B$130+'1.Distancias'!$B30*'2.Red'!$B$9+'2.Red'!$G$17</f>
        <v>44.9514</v>
      </c>
      <c r="C35" s="80">
        <f>C$115+C$130+'1.Distancias'!$B30*'2.Red'!$B$10+'2.Red'!$H$17</f>
        <v>45.2352</v>
      </c>
      <c r="D35" s="80">
        <f>D$115+D$130+'1.Distancias'!$B30*'2.Red'!$B$11+'2.Red'!$I$17</f>
        <v>46.0866</v>
      </c>
      <c r="E35" s="81">
        <f>E$115+E$130+'1.Distancias'!$B30*'2.Red'!$B$13+'2.Red'!$I$17</f>
        <v>46.5123</v>
      </c>
      <c r="F35" s="80">
        <f>F$115+F$130+'1.Distancias'!$B30*'2.Red'!$B$14+'2.Red'!$J$17</f>
        <v>42.9961</v>
      </c>
      <c r="G35" s="80">
        <f>G$115+G$130+'1.Distancias'!$B30*'2.Red'!$B$17+'2.Red'!$J$17</f>
        <v>44.4151</v>
      </c>
      <c r="H35" s="82">
        <f t="shared" ref="H35:K35" si="58">$K$5-B35</f>
        <v>54.7811</v>
      </c>
      <c r="I35" s="82">
        <f t="shared" si="58"/>
        <v>54.4973</v>
      </c>
      <c r="J35" s="82">
        <f t="shared" si="58"/>
        <v>53.6459</v>
      </c>
      <c r="K35" s="83">
        <f t="shared" si="58"/>
        <v>53.2202</v>
      </c>
      <c r="L35" s="82">
        <f t="shared" ref="L35:M35" si="59">$K$6-F35</f>
        <v>64.0787</v>
      </c>
      <c r="M35" s="82">
        <f t="shared" si="59"/>
        <v>62.6597</v>
      </c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 ht="15.75" customHeight="1">
      <c r="A36" s="48" t="s">
        <v>32</v>
      </c>
      <c r="B36" s="80">
        <f>B$116+B$131+'1.Distancias'!$B31*'2.Red'!$B$9+'2.Red'!$G$17</f>
        <v>42.8552</v>
      </c>
      <c r="C36" s="80">
        <f>C$116+C$131+'1.Distancias'!$B31*'2.Red'!$B$10+'2.Red'!$H$17</f>
        <v>43.2736</v>
      </c>
      <c r="D36" s="80">
        <f>D$116+D$131+'1.Distancias'!$B31*'2.Red'!$B$11+'2.Red'!$I$17</f>
        <v>44.5288</v>
      </c>
      <c r="E36" s="81">
        <f>E$116+E$131+'1.Distancias'!$B31*'2.Red'!$B$13+'2.Red'!$I$17</f>
        <v>45.1564</v>
      </c>
      <c r="F36" s="80">
        <f>F$116+F$131+'1.Distancias'!$B31*'2.Red'!$B$14+'2.Red'!$J$17</f>
        <v>42.2748</v>
      </c>
      <c r="G36" s="80">
        <f>G$116+G$131+'1.Distancias'!$B31*'2.Red'!$B$17+'2.Red'!$J$17</f>
        <v>44.3668</v>
      </c>
      <c r="H36" s="82">
        <f t="shared" ref="H36:K36" si="60">$K$5-B36</f>
        <v>56.8773</v>
      </c>
      <c r="I36" s="82">
        <f t="shared" si="60"/>
        <v>56.4589</v>
      </c>
      <c r="J36" s="82">
        <f t="shared" si="60"/>
        <v>55.2037</v>
      </c>
      <c r="K36" s="83">
        <f t="shared" si="60"/>
        <v>54.5761</v>
      </c>
      <c r="L36" s="82">
        <f t="shared" ref="L36:M36" si="61">$K$6-F36</f>
        <v>64.8</v>
      </c>
      <c r="M36" s="82">
        <f t="shared" si="61"/>
        <v>62.708</v>
      </c>
      <c r="N36" s="28"/>
      <c r="O36" s="69" t="s">
        <v>178</v>
      </c>
      <c r="P36" s="70" t="s">
        <v>133</v>
      </c>
      <c r="Q36" s="70" t="s">
        <v>134</v>
      </c>
      <c r="R36" s="71" t="s">
        <v>135</v>
      </c>
      <c r="S36" s="72"/>
      <c r="T36" s="71" t="s">
        <v>136</v>
      </c>
      <c r="U36" s="72"/>
      <c r="V36" s="69" t="s">
        <v>178</v>
      </c>
      <c r="W36" s="28"/>
      <c r="X36" s="28"/>
      <c r="Y36" s="28"/>
      <c r="Z36" s="28"/>
      <c r="AA36" s="28"/>
      <c r="AB36" s="28"/>
      <c r="AC36" s="28"/>
    </row>
    <row r="37" ht="15.75" customHeight="1">
      <c r="A37" s="48" t="s">
        <v>33</v>
      </c>
      <c r="B37" s="80">
        <f>B$116+B$131+'1.Distancias'!$B32*'2.Red'!$B$9+'2.Red'!$G$17</f>
        <v>43.0772</v>
      </c>
      <c r="C37" s="80">
        <f>C$116+C$131+'1.Distancias'!$B32*'2.Red'!$B$10+'2.Red'!$H$17</f>
        <v>43.5696</v>
      </c>
      <c r="D37" s="80">
        <f>D$116+D$131+'1.Distancias'!$B32*'2.Red'!$B$11+'2.Red'!$I$17</f>
        <v>45.0468</v>
      </c>
      <c r="E37" s="81">
        <f>E$116+E$131+'1.Distancias'!$B32*'2.Red'!$B$13+'2.Red'!$I$17</f>
        <v>45.7854</v>
      </c>
      <c r="F37" s="80">
        <f>F$116+F$131+'1.Distancias'!$B32*'2.Red'!$B$14+'2.Red'!$J$17</f>
        <v>42.9778</v>
      </c>
      <c r="G37" s="80">
        <f>G$116+G$131+'1.Distancias'!$B32*'2.Red'!$B$17+'2.Red'!$J$17</f>
        <v>45.4398</v>
      </c>
      <c r="H37" s="82">
        <f t="shared" ref="H37:K37" si="62">$K$5-B37</f>
        <v>56.6553</v>
      </c>
      <c r="I37" s="82">
        <f t="shared" si="62"/>
        <v>56.1629</v>
      </c>
      <c r="J37" s="82">
        <f t="shared" si="62"/>
        <v>54.6857</v>
      </c>
      <c r="K37" s="83">
        <f t="shared" si="62"/>
        <v>53.9471</v>
      </c>
      <c r="L37" s="82">
        <f t="shared" ref="L37:M37" si="63">$K$6-F37</f>
        <v>64.097</v>
      </c>
      <c r="M37" s="82">
        <f t="shared" si="63"/>
        <v>61.635</v>
      </c>
      <c r="N37" s="28"/>
      <c r="O37" s="77"/>
      <c r="P37" s="70" t="s">
        <v>147</v>
      </c>
      <c r="Q37" s="70" t="s">
        <v>148</v>
      </c>
      <c r="R37" s="78" t="s">
        <v>149</v>
      </c>
      <c r="S37" s="78" t="s">
        <v>150</v>
      </c>
      <c r="T37" s="78" t="s">
        <v>151</v>
      </c>
      <c r="U37" s="78" t="s">
        <v>152</v>
      </c>
      <c r="V37" s="77"/>
      <c r="W37" s="28"/>
      <c r="X37" s="28"/>
      <c r="Y37" s="28"/>
      <c r="Z37" s="28"/>
      <c r="AA37" s="28"/>
      <c r="AB37" s="28"/>
      <c r="AC37" s="28"/>
    </row>
    <row r="38" ht="15.75" customHeight="1">
      <c r="A38" s="48" t="s">
        <v>34</v>
      </c>
      <c r="B38" s="80">
        <f>B$116+B$131+'1.Distancias'!$B33*'2.Red'!$B$9+'2.Red'!$G$17</f>
        <v>43.022</v>
      </c>
      <c r="C38" s="80">
        <f>C$116+C$131+'1.Distancias'!$B33*'2.Red'!$B$10+'2.Red'!$H$17</f>
        <v>43.496</v>
      </c>
      <c r="D38" s="80">
        <f>D$116+D$131+'1.Distancias'!$B33*'2.Red'!$B$11+'2.Red'!$I$17</f>
        <v>44.918</v>
      </c>
      <c r="E38" s="81">
        <f>E$116+E$131+'1.Distancias'!$B33*'2.Red'!$B$13+'2.Red'!$I$17</f>
        <v>45.629</v>
      </c>
      <c r="F38" s="80">
        <f>F$116+F$131+'1.Distancias'!$B33*'2.Red'!$B$14+'2.Red'!$J$17</f>
        <v>42.803</v>
      </c>
      <c r="G38" s="80">
        <f>G$116+G$131+'1.Distancias'!$B33*'2.Red'!$B$17+'2.Red'!$J$17</f>
        <v>45.173</v>
      </c>
      <c r="H38" s="82">
        <f t="shared" ref="H38:K38" si="64">$K$5-B38</f>
        <v>56.7105</v>
      </c>
      <c r="I38" s="82">
        <f t="shared" si="64"/>
        <v>56.2365</v>
      </c>
      <c r="J38" s="82">
        <f t="shared" si="64"/>
        <v>54.8145</v>
      </c>
      <c r="K38" s="83">
        <f t="shared" si="64"/>
        <v>54.1035</v>
      </c>
      <c r="L38" s="82">
        <f t="shared" ref="L38:M38" si="65">$K$6-F38</f>
        <v>64.2718</v>
      </c>
      <c r="M38" s="82">
        <f t="shared" si="65"/>
        <v>61.9018</v>
      </c>
      <c r="N38" s="28"/>
      <c r="O38" s="87" t="s">
        <v>179</v>
      </c>
      <c r="P38" s="57">
        <v>56.0</v>
      </c>
      <c r="Q38" s="57">
        <v>56.0</v>
      </c>
      <c r="R38" s="95">
        <v>35.0</v>
      </c>
      <c r="S38" s="72"/>
      <c r="T38" s="95">
        <v>35.0</v>
      </c>
      <c r="U38" s="72"/>
      <c r="V38" s="87" t="s">
        <v>179</v>
      </c>
      <c r="W38" s="28"/>
      <c r="X38" s="28"/>
      <c r="Y38" s="28"/>
      <c r="Z38" s="28"/>
      <c r="AA38" s="28"/>
      <c r="AB38" s="28"/>
      <c r="AC38" s="28"/>
    </row>
    <row r="39" ht="15.75" customHeight="1">
      <c r="A39" s="48" t="s">
        <v>35</v>
      </c>
      <c r="B39" s="80">
        <f>B$116+B$131+'1.Distancias'!$B34*'2.Red'!$B$9+'2.Red'!$G$17</f>
        <v>42.746</v>
      </c>
      <c r="C39" s="80">
        <f>C$116+C$131+'1.Distancias'!$B34*'2.Red'!$B$10+'2.Red'!$H$17</f>
        <v>43.128</v>
      </c>
      <c r="D39" s="80">
        <f>D$116+D$131+'1.Distancias'!$B34*'2.Red'!$B$11+'2.Red'!$I$17</f>
        <v>44.274</v>
      </c>
      <c r="E39" s="81">
        <f>E$116+E$131+'1.Distancias'!$B34*'2.Red'!$B$13+'2.Red'!$I$17</f>
        <v>44.847</v>
      </c>
      <c r="F39" s="80">
        <f>F$116+F$131+'1.Distancias'!$B34*'2.Red'!$B$14+'2.Red'!$J$17</f>
        <v>41.929</v>
      </c>
      <c r="G39" s="80">
        <f>G$116+G$131+'1.Distancias'!$B34*'2.Red'!$B$17+'2.Red'!$J$17</f>
        <v>43.839</v>
      </c>
      <c r="H39" s="82">
        <f t="shared" ref="H39:K39" si="66">$K$5-B39</f>
        <v>56.9865</v>
      </c>
      <c r="I39" s="82">
        <f t="shared" si="66"/>
        <v>56.6045</v>
      </c>
      <c r="J39" s="82">
        <f t="shared" si="66"/>
        <v>55.4585</v>
      </c>
      <c r="K39" s="83">
        <f t="shared" si="66"/>
        <v>54.8855</v>
      </c>
      <c r="L39" s="82">
        <f t="shared" ref="L39:M39" si="67">$K$6-F39</f>
        <v>65.1458</v>
      </c>
      <c r="M39" s="82">
        <f t="shared" si="67"/>
        <v>63.2358</v>
      </c>
      <c r="N39" s="28"/>
      <c r="O39" s="87" t="s">
        <v>180</v>
      </c>
      <c r="P39" s="57">
        <v>120.0</v>
      </c>
      <c r="Q39" s="57">
        <v>113.0</v>
      </c>
      <c r="R39" s="95">
        <v>118.0</v>
      </c>
      <c r="S39" s="72"/>
      <c r="T39" s="95">
        <v>124.0</v>
      </c>
      <c r="U39" s="72"/>
      <c r="V39" s="87" t="s">
        <v>180</v>
      </c>
      <c r="W39" s="28"/>
      <c r="X39" s="28"/>
      <c r="Y39" s="28"/>
      <c r="Z39" s="28"/>
      <c r="AA39" s="28"/>
      <c r="AB39" s="28"/>
      <c r="AC39" s="28"/>
    </row>
    <row r="40" ht="15.75" customHeight="1">
      <c r="A40" s="48" t="s">
        <v>36</v>
      </c>
      <c r="B40" s="80">
        <f>B$116+B$131+'1.Distancias'!$B35*'2.Red'!$B$9+'2.Red'!$G$17</f>
        <v>42.797</v>
      </c>
      <c r="C40" s="80">
        <f>C$116+C$131+'1.Distancias'!$B35*'2.Red'!$B$10+'2.Red'!$H$17</f>
        <v>43.196</v>
      </c>
      <c r="D40" s="80">
        <f>D$116+D$131+'1.Distancias'!$B35*'2.Red'!$B$11+'2.Red'!$I$17</f>
        <v>44.393</v>
      </c>
      <c r="E40" s="81">
        <f>E$116+E$131+'1.Distancias'!$B35*'2.Red'!$B$13+'2.Red'!$I$17</f>
        <v>44.9915</v>
      </c>
      <c r="F40" s="80">
        <f>F$116+F$131+'1.Distancias'!$B35*'2.Red'!$B$14+'2.Red'!$J$17</f>
        <v>42.0905</v>
      </c>
      <c r="G40" s="80">
        <f>G$116+G$131+'1.Distancias'!$B35*'2.Red'!$B$17+'2.Red'!$J$17</f>
        <v>44.0855</v>
      </c>
      <c r="H40" s="82">
        <f t="shared" ref="H40:K40" si="68">$K$5-B40</f>
        <v>56.9355</v>
      </c>
      <c r="I40" s="82">
        <f t="shared" si="68"/>
        <v>56.5365</v>
      </c>
      <c r="J40" s="82">
        <f t="shared" si="68"/>
        <v>55.3395</v>
      </c>
      <c r="K40" s="83">
        <f t="shared" si="68"/>
        <v>54.741</v>
      </c>
      <c r="L40" s="82">
        <f t="shared" ref="L40:M40" si="69">$K$6-F40</f>
        <v>64.9843</v>
      </c>
      <c r="M40" s="82">
        <f t="shared" si="69"/>
        <v>62.9893</v>
      </c>
      <c r="N40" s="28"/>
      <c r="O40" s="87" t="s">
        <v>181</v>
      </c>
      <c r="P40" s="90">
        <f>H102+P12+'2.Red'!D17</f>
        <v>87.9372</v>
      </c>
      <c r="Q40" s="90">
        <f>I102+Q12+'2.Red'!D17</f>
        <v>78.5496</v>
      </c>
      <c r="R40" s="98">
        <f>J102+S12+'2.Red'!D17</f>
        <v>98.8254</v>
      </c>
      <c r="S40" s="72"/>
      <c r="T40" s="97">
        <f>L102+U12+'2.Red'!E17</f>
        <v>102.2198</v>
      </c>
      <c r="U40" s="72"/>
      <c r="V40" s="87" t="s">
        <v>181</v>
      </c>
      <c r="W40" s="28"/>
      <c r="X40" s="28"/>
      <c r="Y40" s="28"/>
      <c r="Z40" s="28"/>
      <c r="AA40" s="28"/>
      <c r="AB40" s="28"/>
      <c r="AC40" s="28"/>
    </row>
    <row r="41" ht="15.75" customHeight="1">
      <c r="A41" s="48" t="s">
        <v>37</v>
      </c>
      <c r="B41" s="80">
        <f>B$116+B$132+'1.Distancias'!$B36*'2.Red'!$B$9+'2.Red'!$G$17</f>
        <v>42.6896</v>
      </c>
      <c r="C41" s="80">
        <f>C$116+C$132+'1.Distancias'!$B36*'2.Red'!$B$10+'2.Red'!$H$17</f>
        <v>43.0528</v>
      </c>
      <c r="D41" s="80">
        <f>D$116+D$132+'1.Distancias'!$B36*'2.Red'!$B$11+'2.Red'!$I$17</f>
        <v>44.1424</v>
      </c>
      <c r="E41" s="81">
        <f>E$116+E$132+'1.Distancias'!$B36*'2.Red'!$B$13+'2.Red'!$I$17</f>
        <v>44.6872</v>
      </c>
      <c r="F41" s="80">
        <f>F$116+F$132+'1.Distancias'!$B36*'2.Red'!$B$14+'2.Red'!$J$17</f>
        <v>41.7504</v>
      </c>
      <c r="G41" s="80">
        <f>G$116+G$132+'1.Distancias'!$B36*'2.Red'!$B$17+'2.Red'!$J$17</f>
        <v>43.5664</v>
      </c>
      <c r="H41" s="82">
        <f t="shared" ref="H41:K41" si="70">$K$5-B41</f>
        <v>57.0429</v>
      </c>
      <c r="I41" s="82">
        <f t="shared" si="70"/>
        <v>56.6797</v>
      </c>
      <c r="J41" s="82">
        <f t="shared" si="70"/>
        <v>55.5901</v>
      </c>
      <c r="K41" s="83">
        <f t="shared" si="70"/>
        <v>55.0453</v>
      </c>
      <c r="L41" s="82">
        <f t="shared" ref="L41:M41" si="71">$K$6-F41</f>
        <v>65.3244</v>
      </c>
      <c r="M41" s="82">
        <f t="shared" si="71"/>
        <v>63.5084</v>
      </c>
      <c r="N41" s="28"/>
      <c r="O41" s="78" t="s">
        <v>182</v>
      </c>
      <c r="P41" s="88">
        <f t="shared" ref="P41:R41" si="72">P38+2*(P39-P40)</f>
        <v>120.1256</v>
      </c>
      <c r="Q41" s="88">
        <f t="shared" si="72"/>
        <v>124.9008</v>
      </c>
      <c r="R41" s="99">
        <f t="shared" si="72"/>
        <v>73.3492</v>
      </c>
      <c r="S41" s="72"/>
      <c r="T41" s="96">
        <f>T38+2*(T39-T40)</f>
        <v>78.5604</v>
      </c>
      <c r="U41" s="72"/>
      <c r="V41" s="78" t="s">
        <v>182</v>
      </c>
      <c r="W41" s="28"/>
      <c r="X41" s="28"/>
      <c r="Y41" s="28"/>
      <c r="Z41" s="28"/>
      <c r="AA41" s="28"/>
      <c r="AB41" s="28"/>
      <c r="AC41" s="28"/>
    </row>
    <row r="42" ht="15.75" customHeight="1">
      <c r="A42" s="48" t="s">
        <v>38</v>
      </c>
      <c r="B42" s="80">
        <f>B$116+B$132+'1.Distancias'!$B37*'2.Red'!$B$9+'2.Red'!$G$17</f>
        <v>42.9116</v>
      </c>
      <c r="C42" s="80">
        <f>C$116+C$132+'1.Distancias'!$B37*'2.Red'!$B$10+'2.Red'!$H$17</f>
        <v>43.3488</v>
      </c>
      <c r="D42" s="80">
        <f>D$116+D$132+'1.Distancias'!$B37*'2.Red'!$B$11+'2.Red'!$I$17</f>
        <v>44.6604</v>
      </c>
      <c r="E42" s="81">
        <f>E$116+E$132+'1.Distancias'!$B37*'2.Red'!$B$13+'2.Red'!$I$17</f>
        <v>45.3162</v>
      </c>
      <c r="F42" s="80">
        <f>F$116+F$132+'1.Distancias'!$B37*'2.Red'!$B$14+'2.Red'!$J$17</f>
        <v>42.4534</v>
      </c>
      <c r="G42" s="80">
        <f>G$116+G$132+'1.Distancias'!$B37*'2.Red'!$B$17+'2.Red'!$J$17</f>
        <v>44.6394</v>
      </c>
      <c r="H42" s="82">
        <f t="shared" ref="H42:K42" si="73">$K$5-B42</f>
        <v>56.8209</v>
      </c>
      <c r="I42" s="82">
        <f t="shared" si="73"/>
        <v>56.3837</v>
      </c>
      <c r="J42" s="82">
        <f t="shared" si="73"/>
        <v>55.0721</v>
      </c>
      <c r="K42" s="83">
        <f t="shared" si="73"/>
        <v>54.4163</v>
      </c>
      <c r="L42" s="82">
        <f t="shared" ref="L42:M42" si="74">$K$6-F42</f>
        <v>64.6214</v>
      </c>
      <c r="M42" s="82">
        <f t="shared" si="74"/>
        <v>62.4354</v>
      </c>
      <c r="N42" s="28"/>
      <c r="O42" s="87" t="s">
        <v>183</v>
      </c>
      <c r="P42" s="90">
        <v>27.0</v>
      </c>
      <c r="Q42" s="90">
        <v>18.0</v>
      </c>
      <c r="R42" s="98">
        <v>30.0</v>
      </c>
      <c r="S42" s="72"/>
      <c r="T42" s="97">
        <v>18.0</v>
      </c>
      <c r="U42" s="72"/>
      <c r="V42" s="87" t="s">
        <v>183</v>
      </c>
      <c r="W42" s="28"/>
      <c r="X42" s="28"/>
      <c r="Y42" s="28"/>
      <c r="Z42" s="28"/>
      <c r="AA42" s="28"/>
      <c r="AB42" s="28"/>
      <c r="AC42" s="28"/>
    </row>
    <row r="43" ht="15.75" customHeight="1">
      <c r="A43" s="48" t="s">
        <v>39</v>
      </c>
      <c r="B43" s="80">
        <f>B$116+B$132+'1.Distancias'!$B38*'2.Red'!$B$9+'2.Red'!$G$17</f>
        <v>42.8564</v>
      </c>
      <c r="C43" s="80">
        <f>C$116+C$132+'1.Distancias'!$B38*'2.Red'!$B$10+'2.Red'!$H$17</f>
        <v>43.2752</v>
      </c>
      <c r="D43" s="80">
        <f>D$116+D$132+'1.Distancias'!$B38*'2.Red'!$B$11+'2.Red'!$I$17</f>
        <v>44.5316</v>
      </c>
      <c r="E43" s="81">
        <f>E$116+E$132+'1.Distancias'!$B38*'2.Red'!$B$13+'2.Red'!$I$17</f>
        <v>45.1598</v>
      </c>
      <c r="F43" s="80">
        <f>F$116+F$132+'1.Distancias'!$B38*'2.Red'!$B$14+'2.Red'!$J$17</f>
        <v>42.2786</v>
      </c>
      <c r="G43" s="80">
        <f>G$116+G$132+'1.Distancias'!$B38*'2.Red'!$B$17+'2.Red'!$J$17</f>
        <v>44.3726</v>
      </c>
      <c r="H43" s="82">
        <f t="shared" ref="H43:K43" si="75">$K$5-B43</f>
        <v>56.8761</v>
      </c>
      <c r="I43" s="82">
        <f t="shared" si="75"/>
        <v>56.4573</v>
      </c>
      <c r="J43" s="82">
        <f t="shared" si="75"/>
        <v>55.2009</v>
      </c>
      <c r="K43" s="83">
        <f t="shared" si="75"/>
        <v>54.5727</v>
      </c>
      <c r="L43" s="82">
        <f t="shared" ref="L43:M43" si="76">$K$6-F43</f>
        <v>64.7962</v>
      </c>
      <c r="M43" s="82">
        <f t="shared" si="76"/>
        <v>62.7022</v>
      </c>
      <c r="N43" s="28"/>
      <c r="O43" s="87" t="s">
        <v>184</v>
      </c>
      <c r="P43" s="90" t="str">
        <f t="shared" ref="P43:R43" si="77">IF(P41&gt;=P42,"SI","NO")</f>
        <v>SI</v>
      </c>
      <c r="Q43" s="90" t="str">
        <f t="shared" si="77"/>
        <v>SI</v>
      </c>
      <c r="R43" s="98" t="str">
        <f t="shared" si="77"/>
        <v>SI</v>
      </c>
      <c r="S43" s="72"/>
      <c r="T43" s="98" t="str">
        <f>IF(T41&gt;=T42,"SI","NO")</f>
        <v>SI</v>
      </c>
      <c r="U43" s="72"/>
      <c r="V43" s="87" t="s">
        <v>184</v>
      </c>
      <c r="W43" s="28"/>
      <c r="X43" s="28"/>
      <c r="Y43" s="28"/>
      <c r="Z43" s="28"/>
      <c r="AA43" s="28"/>
      <c r="AB43" s="28"/>
      <c r="AC43" s="28"/>
    </row>
    <row r="44" ht="15.75" customHeight="1">
      <c r="A44" s="48" t="s">
        <v>40</v>
      </c>
      <c r="B44" s="80">
        <f>B$116+B$132+'1.Distancias'!$B39*'2.Red'!$B$9+'2.Red'!$G$17</f>
        <v>42.5804</v>
      </c>
      <c r="C44" s="80">
        <f>C$116+C$132+'1.Distancias'!$B39*'2.Red'!$B$10+'2.Red'!$H$17</f>
        <v>42.9072</v>
      </c>
      <c r="D44" s="80">
        <f>D$116+D$132+'1.Distancias'!$B39*'2.Red'!$B$11+'2.Red'!$I$17</f>
        <v>43.8876</v>
      </c>
      <c r="E44" s="81">
        <f>E$116+E$132+'1.Distancias'!$B39*'2.Red'!$B$13+'2.Red'!$I$17</f>
        <v>44.3778</v>
      </c>
      <c r="F44" s="80">
        <f>F$116+F$132+'1.Distancias'!$B39*'2.Red'!$B$14+'2.Red'!$J$17</f>
        <v>41.4046</v>
      </c>
      <c r="G44" s="80">
        <f>G$116+G$132+'1.Distancias'!$B39*'2.Red'!$B$17+'2.Red'!$J$17</f>
        <v>43.0386</v>
      </c>
      <c r="H44" s="82">
        <f t="shared" ref="H44:K44" si="78">$K$5-B44</f>
        <v>57.1521</v>
      </c>
      <c r="I44" s="82">
        <f t="shared" si="78"/>
        <v>56.8253</v>
      </c>
      <c r="J44" s="82">
        <f t="shared" si="78"/>
        <v>55.8449</v>
      </c>
      <c r="K44" s="83">
        <f t="shared" si="78"/>
        <v>55.3547</v>
      </c>
      <c r="L44" s="82">
        <f t="shared" ref="L44:M44" si="79">$K$6-F44</f>
        <v>65.6702</v>
      </c>
      <c r="M44" s="82">
        <f t="shared" si="79"/>
        <v>64.0362</v>
      </c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ht="15.75" customHeight="1">
      <c r="A45" s="48" t="s">
        <v>41</v>
      </c>
      <c r="B45" s="80">
        <f>B$116+B$132+'1.Distancias'!$B40*'2.Red'!$B$9+'2.Red'!$G$17</f>
        <v>42.6314</v>
      </c>
      <c r="C45" s="80">
        <f>C$116+C$132+'1.Distancias'!$B40*'2.Red'!$B$10+'2.Red'!$H$17</f>
        <v>42.9752</v>
      </c>
      <c r="D45" s="80">
        <f>D$116+D$132+'1.Distancias'!$B40*'2.Red'!$B$11+'2.Red'!$I$17</f>
        <v>44.0066</v>
      </c>
      <c r="E45" s="81">
        <f>E$116+E$132+'1.Distancias'!$B40*'2.Red'!$B$13+'2.Red'!$I$17</f>
        <v>44.5223</v>
      </c>
      <c r="F45" s="80">
        <f>F$116+F$132+'1.Distancias'!$B40*'2.Red'!$B$14+'2.Red'!$J$17</f>
        <v>41.5661</v>
      </c>
      <c r="G45" s="80">
        <f>G$116+G$132+'1.Distancias'!$B40*'2.Red'!$B$17+'2.Red'!$J$17</f>
        <v>43.2851</v>
      </c>
      <c r="H45" s="82">
        <f t="shared" ref="H45:K45" si="80">$K$5-B45</f>
        <v>57.1011</v>
      </c>
      <c r="I45" s="82">
        <f t="shared" si="80"/>
        <v>56.7573</v>
      </c>
      <c r="J45" s="82">
        <f t="shared" si="80"/>
        <v>55.7259</v>
      </c>
      <c r="K45" s="83">
        <f t="shared" si="80"/>
        <v>55.2102</v>
      </c>
      <c r="L45" s="82">
        <f t="shared" ref="L45:M45" si="81">$K$6-F45</f>
        <v>65.5087</v>
      </c>
      <c r="M45" s="82">
        <f t="shared" si="81"/>
        <v>63.7897</v>
      </c>
      <c r="N45" s="28"/>
      <c r="O45" s="69" t="s">
        <v>185</v>
      </c>
      <c r="P45" s="70" t="s">
        <v>133</v>
      </c>
      <c r="Q45" s="70" t="s">
        <v>134</v>
      </c>
      <c r="R45" s="71" t="s">
        <v>135</v>
      </c>
      <c r="S45" s="72"/>
      <c r="T45" s="71" t="s">
        <v>136</v>
      </c>
      <c r="U45" s="72"/>
      <c r="V45" s="69" t="s">
        <v>186</v>
      </c>
      <c r="W45" s="28"/>
      <c r="X45" s="93"/>
      <c r="Y45" s="100" t="s">
        <v>133</v>
      </c>
      <c r="Z45" s="100" t="s">
        <v>134</v>
      </c>
      <c r="AA45" s="100" t="s">
        <v>135</v>
      </c>
      <c r="AB45" s="93" t="s">
        <v>136</v>
      </c>
      <c r="AC45" s="28"/>
    </row>
    <row r="46" ht="15.75" customHeight="1">
      <c r="A46" s="79" t="s">
        <v>42</v>
      </c>
      <c r="B46" s="80">
        <f>B$117+B$133+'1.Distancias'!$B41*'2.Red'!$B$9+'2.Red'!$G$17</f>
        <v>44.5352</v>
      </c>
      <c r="C46" s="80">
        <f>C$117+C$133+'1.Distancias'!$B41*'2.Red'!$B$10+'2.Red'!$H$17</f>
        <v>45.0136</v>
      </c>
      <c r="D46" s="80">
        <f>D$117+D$133+'1.Distancias'!$B41*'2.Red'!$B$11+'2.Red'!$I$17</f>
        <v>46.4488</v>
      </c>
      <c r="E46" s="81">
        <f>E$117+E$133+'1.Distancias'!$B41*'2.Red'!$B$13+'2.Red'!$I$17</f>
        <v>47.1664</v>
      </c>
      <c r="F46" s="80">
        <f>F$117+F$133+'1.Distancias'!$B41*'2.Red'!$B$14+'2.Red'!$J$17</f>
        <v>44.8448</v>
      </c>
      <c r="G46" s="80">
        <f>G$117+G$133+'1.Distancias'!$B41*'2.Red'!$B$17+'2.Red'!$J$17</f>
        <v>47.2368</v>
      </c>
      <c r="H46" s="82">
        <f t="shared" ref="H46:K46" si="82">$K$5-B46</f>
        <v>55.1973</v>
      </c>
      <c r="I46" s="82">
        <f t="shared" si="82"/>
        <v>54.7189</v>
      </c>
      <c r="J46" s="82">
        <f t="shared" si="82"/>
        <v>53.2837</v>
      </c>
      <c r="K46" s="83">
        <f t="shared" si="82"/>
        <v>52.5661</v>
      </c>
      <c r="L46" s="82">
        <f t="shared" ref="L46:M46" si="83">$K$6-F46</f>
        <v>62.23</v>
      </c>
      <c r="M46" s="82">
        <f t="shared" si="83"/>
        <v>59.838</v>
      </c>
      <c r="N46" s="28"/>
      <c r="O46" s="77"/>
      <c r="P46" s="70" t="s">
        <v>147</v>
      </c>
      <c r="Q46" s="70" t="s">
        <v>148</v>
      </c>
      <c r="R46" s="91" t="s">
        <v>187</v>
      </c>
      <c r="S46" s="72"/>
      <c r="T46" s="91" t="s">
        <v>188</v>
      </c>
      <c r="U46" s="72"/>
      <c r="V46" s="77"/>
      <c r="W46" s="28"/>
      <c r="X46" s="100" t="s">
        <v>189</v>
      </c>
      <c r="Y46" s="101">
        <f> 0.2*10^6</f>
        <v>200000</v>
      </c>
      <c r="Z46" s="101">
        <f>1.5*10^6</f>
        <v>1500000</v>
      </c>
      <c r="AA46" s="101">
        <f>8*10^6</f>
        <v>8000000</v>
      </c>
      <c r="AB46" s="35">
        <v>1000000.0</v>
      </c>
      <c r="AC46" s="28"/>
    </row>
    <row r="47" ht="15.75" customHeight="1">
      <c r="A47" s="79" t="s">
        <v>43</v>
      </c>
      <c r="B47" s="80">
        <f>B$117+B$133+'1.Distancias'!$B42*'2.Red'!$B$9+'2.Red'!$G$17</f>
        <v>44.7572</v>
      </c>
      <c r="C47" s="80">
        <f>C$117+C$133+'1.Distancias'!$B42*'2.Red'!$B$10+'2.Red'!$H$17</f>
        <v>45.3096</v>
      </c>
      <c r="D47" s="80">
        <f>D$117+D$133+'1.Distancias'!$B42*'2.Red'!$B$11+'2.Red'!$I$17</f>
        <v>46.9668</v>
      </c>
      <c r="E47" s="81">
        <f>E$117+E$133+'1.Distancias'!$B42*'2.Red'!$B$13+'2.Red'!$I$17</f>
        <v>47.7954</v>
      </c>
      <c r="F47" s="80">
        <f>F$117+F$133+'1.Distancias'!$B42*'2.Red'!$B$14+'2.Red'!$J$17</f>
        <v>45.5478</v>
      </c>
      <c r="G47" s="80">
        <f>G$117+G$133+'1.Distancias'!$B42*'2.Red'!$B$17+'2.Red'!$J$17</f>
        <v>48.3098</v>
      </c>
      <c r="H47" s="82">
        <f t="shared" ref="H47:K47" si="84">$K$5-B47</f>
        <v>54.9753</v>
      </c>
      <c r="I47" s="82">
        <f t="shared" si="84"/>
        <v>54.4229</v>
      </c>
      <c r="J47" s="82">
        <f t="shared" si="84"/>
        <v>52.7657</v>
      </c>
      <c r="K47" s="83">
        <f t="shared" si="84"/>
        <v>51.9371</v>
      </c>
      <c r="L47" s="82">
        <f t="shared" ref="L47:M47" si="85">$K$6-F47</f>
        <v>61.527</v>
      </c>
      <c r="M47" s="82">
        <f t="shared" si="85"/>
        <v>58.765</v>
      </c>
      <c r="N47" s="28"/>
      <c r="O47" s="87" t="s">
        <v>190</v>
      </c>
      <c r="P47" s="90">
        <f>K5-'4.Cabecera'!E12+Y47</f>
        <v>59.9125</v>
      </c>
      <c r="Q47" s="90">
        <f>K5-'4.Cabecera'!F12+Z47</f>
        <v>51.9725</v>
      </c>
      <c r="R47" s="97">
        <f>K5-'4.Cabecera'!G12+AA47</f>
        <v>50.1825</v>
      </c>
      <c r="S47" s="72"/>
      <c r="T47" s="97">
        <f>K6-'4.Cabecera'!H12+AB47</f>
        <v>57.7648</v>
      </c>
      <c r="U47" s="72"/>
      <c r="V47" s="87" t="s">
        <v>190</v>
      </c>
      <c r="W47" s="28"/>
      <c r="X47" s="93" t="s">
        <v>191</v>
      </c>
      <c r="Y47" s="101">
        <f>3*'2.Red'!B9</f>
        <v>0.18</v>
      </c>
      <c r="Z47" s="101">
        <f>3*'2.Red'!B10</f>
        <v>0.24</v>
      </c>
      <c r="AA47" s="101">
        <f>3*'2.Red'!B12</f>
        <v>0.45</v>
      </c>
      <c r="AB47" s="101">
        <f>3*'2.Red'!B15</f>
        <v>0.69</v>
      </c>
      <c r="AC47" s="28"/>
    </row>
    <row r="48" ht="15.75" customHeight="1">
      <c r="A48" s="79" t="s">
        <v>44</v>
      </c>
      <c r="B48" s="80">
        <f>B$117+B$133+'1.Distancias'!$B43*'2.Red'!$B$9+'2.Red'!$G$17</f>
        <v>44.702</v>
      </c>
      <c r="C48" s="80">
        <f>C$117+C$133+'1.Distancias'!$B43*'2.Red'!$B$10+'2.Red'!$H$17</f>
        <v>45.236</v>
      </c>
      <c r="D48" s="80">
        <f>D$117+D$133+'1.Distancias'!$B43*'2.Red'!$B$11+'2.Red'!$I$17</f>
        <v>46.838</v>
      </c>
      <c r="E48" s="81">
        <f>E$117+E$133+'1.Distancias'!$B43*'2.Red'!$B$13+'2.Red'!$I$17</f>
        <v>47.639</v>
      </c>
      <c r="F48" s="80">
        <f>F$117+F$133+'1.Distancias'!$B43*'2.Red'!$B$14+'2.Red'!$J$17</f>
        <v>45.373</v>
      </c>
      <c r="G48" s="80">
        <f>G$117+G$133+'1.Distancias'!$B43*'2.Red'!$B$17+'2.Red'!$J$17</f>
        <v>48.043</v>
      </c>
      <c r="H48" s="82">
        <f t="shared" ref="H48:K48" si="86">$K$5-B48</f>
        <v>55.0305</v>
      </c>
      <c r="I48" s="82">
        <f t="shared" si="86"/>
        <v>54.4965</v>
      </c>
      <c r="J48" s="82">
        <f t="shared" si="86"/>
        <v>52.8945</v>
      </c>
      <c r="K48" s="83">
        <f t="shared" si="86"/>
        <v>52.0935</v>
      </c>
      <c r="L48" s="82">
        <f t="shared" ref="L48:M48" si="87">$K$6-F48</f>
        <v>61.7018</v>
      </c>
      <c r="M48" s="82">
        <f t="shared" si="87"/>
        <v>59.0318</v>
      </c>
      <c r="N48" s="28"/>
      <c r="O48" s="87" t="s">
        <v>192</v>
      </c>
      <c r="P48" s="57">
        <f> 10^0.018 * (10^1 + (10^4.644 -1)/10^4)</f>
        <v>15.01505019</v>
      </c>
      <c r="Q48" s="57">
        <f> 10^0.024 * (10^1 + (10^4.705 -1)/10^4.8)</f>
        <v>11.41733882</v>
      </c>
      <c r="R48" s="95">
        <f> 10^0.045 * (10^1 + (10^5 -1)/10^5)</f>
        <v>12.20091188</v>
      </c>
      <c r="S48" s="72"/>
      <c r="T48" s="95">
        <f> 10^0.069 * (10^1 + (10^5.1 -1)/10^5)</f>
        <v>13.19764847</v>
      </c>
      <c r="U48" s="72"/>
      <c r="V48" s="87" t="s">
        <v>192</v>
      </c>
      <c r="W48" s="28"/>
      <c r="X48" s="93" t="s">
        <v>193</v>
      </c>
      <c r="Y48" s="102">
        <v>290.0</v>
      </c>
      <c r="Z48" s="92"/>
      <c r="AA48" s="92"/>
      <c r="AB48" s="72"/>
      <c r="AC48" s="28"/>
    </row>
    <row r="49" ht="15.75" customHeight="1">
      <c r="A49" s="79" t="s">
        <v>45</v>
      </c>
      <c r="B49" s="80">
        <f>B$117+B$133+'1.Distancias'!$B44*'2.Red'!$B$9+'2.Red'!$G$17</f>
        <v>44.426</v>
      </c>
      <c r="C49" s="80">
        <f>C$117+C$133+'1.Distancias'!$B44*'2.Red'!$B$10+'2.Red'!$H$17</f>
        <v>44.868</v>
      </c>
      <c r="D49" s="80">
        <f>D$117+D$133+'1.Distancias'!$B44*'2.Red'!$B$11+'2.Red'!$I$17</f>
        <v>46.194</v>
      </c>
      <c r="E49" s="81">
        <f>E$117+E$133+'1.Distancias'!$B44*'2.Red'!$B$13+'2.Red'!$I$17</f>
        <v>46.857</v>
      </c>
      <c r="F49" s="80">
        <f>F$117+F$133+'1.Distancias'!$B44*'2.Red'!$B$14+'2.Red'!$J$17</f>
        <v>44.499</v>
      </c>
      <c r="G49" s="80">
        <f>G$117+G$133+'1.Distancias'!$B44*'2.Red'!$B$17+'2.Red'!$J$17</f>
        <v>46.709</v>
      </c>
      <c r="H49" s="82">
        <f t="shared" ref="H49:K49" si="88">$K$5-B49</f>
        <v>55.3065</v>
      </c>
      <c r="I49" s="82">
        <f t="shared" si="88"/>
        <v>54.8645</v>
      </c>
      <c r="J49" s="82">
        <f t="shared" si="88"/>
        <v>53.5385</v>
      </c>
      <c r="K49" s="83">
        <f t="shared" si="88"/>
        <v>52.8755</v>
      </c>
      <c r="L49" s="82">
        <f t="shared" ref="L49:M49" si="89">$K$6-F49</f>
        <v>62.5758</v>
      </c>
      <c r="M49" s="82">
        <f t="shared" si="89"/>
        <v>60.3658</v>
      </c>
      <c r="N49" s="28"/>
      <c r="O49" s="87" t="s">
        <v>194</v>
      </c>
      <c r="P49" s="90">
        <f t="shared" ref="P49:R49" si="90">10*log(P48)</f>
        <v>11.76526788</v>
      </c>
      <c r="Q49" s="90">
        <f t="shared" si="90"/>
        <v>10.57564889</v>
      </c>
      <c r="R49" s="97">
        <f t="shared" si="90"/>
        <v>10.8639229</v>
      </c>
      <c r="S49" s="72"/>
      <c r="T49" s="97">
        <f>10*log(T48)</f>
        <v>11.20496556</v>
      </c>
      <c r="U49" s="72"/>
      <c r="V49" s="87" t="s">
        <v>194</v>
      </c>
      <c r="W49" s="28"/>
      <c r="X49" s="93" t="s">
        <v>195</v>
      </c>
      <c r="Y49" s="103">
        <f> 1.38*10^(-23)</f>
        <v>0</v>
      </c>
      <c r="Z49" s="92"/>
      <c r="AA49" s="92"/>
      <c r="AB49" s="72"/>
      <c r="AC49" s="28"/>
    </row>
    <row r="50" ht="15.75" customHeight="1">
      <c r="A50" s="79" t="s">
        <v>46</v>
      </c>
      <c r="B50" s="80">
        <f>B$117+B$133+'1.Distancias'!$B45*'2.Red'!$B$9+'2.Red'!$G$17</f>
        <v>44.477</v>
      </c>
      <c r="C50" s="80">
        <f>C$117+C$133+'1.Distancias'!$B45*'2.Red'!$B$10+'2.Red'!$H$17</f>
        <v>44.936</v>
      </c>
      <c r="D50" s="80">
        <f>D$117+D$133+'1.Distancias'!$B45*'2.Red'!$B$11+'2.Red'!$I$17</f>
        <v>46.313</v>
      </c>
      <c r="E50" s="81">
        <f>E$117+E$133+'1.Distancias'!$B45*'2.Red'!$B$13+'2.Red'!$I$17</f>
        <v>47.0015</v>
      </c>
      <c r="F50" s="80">
        <f>F$117+F$133+'1.Distancias'!$B45*'2.Red'!$B$14+'2.Red'!$J$17</f>
        <v>44.6605</v>
      </c>
      <c r="G50" s="80">
        <f>G$117+G$133+'1.Distancias'!$B45*'2.Red'!$B$17+'2.Red'!$J$17</f>
        <v>46.9555</v>
      </c>
      <c r="H50" s="82">
        <f t="shared" ref="H50:K50" si="91">$K$5-B50</f>
        <v>55.2555</v>
      </c>
      <c r="I50" s="82">
        <f t="shared" si="91"/>
        <v>54.7965</v>
      </c>
      <c r="J50" s="82">
        <f t="shared" si="91"/>
        <v>53.4195</v>
      </c>
      <c r="K50" s="83">
        <f t="shared" si="91"/>
        <v>52.731</v>
      </c>
      <c r="L50" s="82">
        <f t="shared" ref="L50:M50" si="92">$K$6-F50</f>
        <v>62.4143</v>
      </c>
      <c r="M50" s="82">
        <f t="shared" si="92"/>
        <v>60.1193</v>
      </c>
      <c r="N50" s="28"/>
      <c r="O50" s="87" t="s">
        <v>196</v>
      </c>
      <c r="P50" s="90">
        <f t="shared" ref="P50:R50" si="93">$Y$48+$Y$48*(P48-1)</f>
        <v>4354.364555</v>
      </c>
      <c r="Q50" s="90">
        <f t="shared" si="93"/>
        <v>3311.028257</v>
      </c>
      <c r="R50" s="97">
        <f t="shared" si="93"/>
        <v>3538.264444</v>
      </c>
      <c r="S50" s="72"/>
      <c r="T50" s="97">
        <f>$Y$48+$Y$48*(T48-1)</f>
        <v>3827.318055</v>
      </c>
      <c r="U50" s="72"/>
      <c r="V50" s="87" t="s">
        <v>196</v>
      </c>
      <c r="W50" s="28"/>
      <c r="X50" s="28"/>
      <c r="Y50" s="28"/>
      <c r="Z50" s="28"/>
      <c r="AA50" s="28"/>
      <c r="AB50" s="28"/>
      <c r="AC50" s="28"/>
    </row>
    <row r="51" ht="15.75" customHeight="1">
      <c r="A51" s="48" t="s">
        <v>47</v>
      </c>
      <c r="B51" s="80">
        <f>B$117+B$134+'1.Distancias'!$B46*'2.Red'!$B$9+'2.Red'!$G$17</f>
        <v>44.3696</v>
      </c>
      <c r="C51" s="80">
        <f>C$117+C$134+'1.Distancias'!$B46*'2.Red'!$B$10+'2.Red'!$H$17</f>
        <v>44.7928</v>
      </c>
      <c r="D51" s="80">
        <f>D$117+D$134+'1.Distancias'!$B46*'2.Red'!$B$11+'2.Red'!$I$17</f>
        <v>46.0624</v>
      </c>
      <c r="E51" s="81">
        <f>E$117+E$134+'1.Distancias'!$B46*'2.Red'!$B$13+'2.Red'!$I$17</f>
        <v>46.6972</v>
      </c>
      <c r="F51" s="80">
        <f>F$117+F$134+'1.Distancias'!$B46*'2.Red'!$B$14+'2.Red'!$J$17</f>
        <v>44.3204</v>
      </c>
      <c r="G51" s="80">
        <f>G$117+G$134+'1.Distancias'!$B46*'2.Red'!$B$17+'2.Red'!$J$17</f>
        <v>46.4364</v>
      </c>
      <c r="H51" s="82">
        <f t="shared" ref="H51:K51" si="94">$K$5-B51</f>
        <v>55.3629</v>
      </c>
      <c r="I51" s="82">
        <f t="shared" si="94"/>
        <v>54.9397</v>
      </c>
      <c r="J51" s="82">
        <f t="shared" si="94"/>
        <v>53.6701</v>
      </c>
      <c r="K51" s="83">
        <f t="shared" si="94"/>
        <v>53.0353</v>
      </c>
      <c r="L51" s="82">
        <f t="shared" ref="L51:M51" si="95">$K$6-F51</f>
        <v>62.7544</v>
      </c>
      <c r="M51" s="82">
        <f t="shared" si="95"/>
        <v>60.6384</v>
      </c>
      <c r="N51" s="28"/>
      <c r="O51" s="87" t="s">
        <v>197</v>
      </c>
      <c r="P51" s="104">
        <f>1.38*10^(-23)*(Y48+P50)*Y46</f>
        <v>0</v>
      </c>
      <c r="Q51" s="104">
        <f>1.38*10^(-23)*(Y48+Q50)*Z46</f>
        <v>0</v>
      </c>
      <c r="R51" s="105">
        <f>1.38*10^(-23)*(Y48+S50)*AA46</f>
        <v>0</v>
      </c>
      <c r="S51" s="72"/>
      <c r="T51" s="105">
        <f>1.38*10^(-23)*(Y48+U50)*AB46</f>
        <v>0</v>
      </c>
      <c r="U51" s="72"/>
      <c r="V51" s="87" t="s">
        <v>197</v>
      </c>
      <c r="W51" s="28"/>
      <c r="X51" s="28"/>
      <c r="Y51" s="28"/>
      <c r="Z51" s="28"/>
      <c r="AA51" s="28"/>
      <c r="AB51" s="28"/>
      <c r="AC51" s="28"/>
    </row>
    <row r="52" ht="15.75" customHeight="1">
      <c r="A52" s="48" t="s">
        <v>48</v>
      </c>
      <c r="B52" s="80">
        <f>B$117+B$134+'1.Distancias'!$B47*'2.Red'!$B$9+'2.Red'!$G$17</f>
        <v>44.5916</v>
      </c>
      <c r="C52" s="80">
        <f>C$117+C$134+'1.Distancias'!$B47*'2.Red'!$B$10+'2.Red'!$H$17</f>
        <v>45.0888</v>
      </c>
      <c r="D52" s="80">
        <f>D$117+D$134+'1.Distancias'!$B47*'2.Red'!$B$11+'2.Red'!$I$17</f>
        <v>46.5804</v>
      </c>
      <c r="E52" s="81">
        <f>E$117+E$134+'1.Distancias'!$B47*'2.Red'!$B$13+'2.Red'!$I$17</f>
        <v>47.3262</v>
      </c>
      <c r="F52" s="80">
        <f>F$117+F$134+'1.Distancias'!$B47*'2.Red'!$B$14+'2.Red'!$J$17</f>
        <v>45.0234</v>
      </c>
      <c r="G52" s="80">
        <f>G$117+G$134+'1.Distancias'!$B47*'2.Red'!$B$17+'2.Red'!$J$17</f>
        <v>47.5094</v>
      </c>
      <c r="H52" s="82">
        <f t="shared" ref="H52:K52" si="96">$K$5-B52</f>
        <v>55.1409</v>
      </c>
      <c r="I52" s="82">
        <f t="shared" si="96"/>
        <v>54.6437</v>
      </c>
      <c r="J52" s="82">
        <f t="shared" si="96"/>
        <v>53.1521</v>
      </c>
      <c r="K52" s="83">
        <f t="shared" si="96"/>
        <v>52.4063</v>
      </c>
      <c r="L52" s="82">
        <f t="shared" ref="L52:M52" si="97">$K$6-F52</f>
        <v>62.0514</v>
      </c>
      <c r="M52" s="82">
        <f t="shared" si="97"/>
        <v>59.5654</v>
      </c>
      <c r="N52" s="28"/>
      <c r="O52" s="87" t="s">
        <v>198</v>
      </c>
      <c r="P52" s="90">
        <f t="shared" ref="P52:R52" si="98">10*log(P51)</f>
        <v>-138.9216462</v>
      </c>
      <c r="Q52" s="90">
        <f t="shared" si="98"/>
        <v>-131.2760313</v>
      </c>
      <c r="R52" s="97">
        <f t="shared" si="98"/>
        <v>-134.9463293</v>
      </c>
      <c r="S52" s="72"/>
      <c r="T52" s="97">
        <f>10*log(T51)</f>
        <v>-143.9772292</v>
      </c>
      <c r="U52" s="72"/>
      <c r="V52" s="87" t="s">
        <v>198</v>
      </c>
      <c r="W52" s="28"/>
      <c r="X52" s="28"/>
      <c r="Y52" s="28"/>
      <c r="Z52" s="28"/>
      <c r="AA52" s="28"/>
      <c r="AB52" s="28"/>
      <c r="AC52" s="28"/>
    </row>
    <row r="53" ht="15.75" customHeight="1">
      <c r="A53" s="48" t="s">
        <v>49</v>
      </c>
      <c r="B53" s="80">
        <f>B$117+B$134+'1.Distancias'!$B48*'2.Red'!$B$9+'2.Red'!$G$17</f>
        <v>44.5364</v>
      </c>
      <c r="C53" s="80">
        <f>C$117+C$134+'1.Distancias'!$B48*'2.Red'!$B$10+'2.Red'!$H$17</f>
        <v>45.0152</v>
      </c>
      <c r="D53" s="80">
        <f>D$117+D$134+'1.Distancias'!$B48*'2.Red'!$B$11+'2.Red'!$I$17</f>
        <v>46.4516</v>
      </c>
      <c r="E53" s="81">
        <f>E$117+E$134+'1.Distancias'!$B48*'2.Red'!$B$13+'2.Red'!$I$17</f>
        <v>47.1698</v>
      </c>
      <c r="F53" s="80">
        <f>F$117+F$134+'1.Distancias'!$B48*'2.Red'!$B$14+'2.Red'!$J$17</f>
        <v>44.8486</v>
      </c>
      <c r="G53" s="80">
        <f>G$117+G$134+'1.Distancias'!$B48*'2.Red'!$B$17+'2.Red'!$J$17</f>
        <v>47.2426</v>
      </c>
      <c r="H53" s="82">
        <f t="shared" ref="H53:K53" si="99">$K$5-B53</f>
        <v>55.1961</v>
      </c>
      <c r="I53" s="82">
        <f t="shared" si="99"/>
        <v>54.7173</v>
      </c>
      <c r="J53" s="82">
        <f t="shared" si="99"/>
        <v>53.2809</v>
      </c>
      <c r="K53" s="83">
        <f t="shared" si="99"/>
        <v>52.5627</v>
      </c>
      <c r="L53" s="82">
        <f t="shared" ref="L53:M53" si="100">$K$6-F53</f>
        <v>62.2262</v>
      </c>
      <c r="M53" s="82">
        <f t="shared" si="100"/>
        <v>59.8322</v>
      </c>
      <c r="N53" s="28"/>
      <c r="O53" s="87" t="s">
        <v>199</v>
      </c>
      <c r="P53" s="90">
        <f t="shared" ref="P53:R53" si="101">P52+30+108.75</f>
        <v>-0.1716461597</v>
      </c>
      <c r="Q53" s="90">
        <f t="shared" si="101"/>
        <v>7.473968747</v>
      </c>
      <c r="R53" s="98">
        <f t="shared" si="101"/>
        <v>3.803670713</v>
      </c>
      <c r="S53" s="72"/>
      <c r="T53" s="97">
        <f>T52+30+108.75</f>
        <v>-5.227229157</v>
      </c>
      <c r="U53" s="72"/>
      <c r="V53" s="87" t="s">
        <v>200</v>
      </c>
      <c r="W53" s="28"/>
      <c r="X53" s="28"/>
      <c r="Y53" s="28"/>
      <c r="Z53" s="28"/>
      <c r="AA53" s="28"/>
      <c r="AB53" s="28"/>
      <c r="AC53" s="28"/>
    </row>
    <row r="54" ht="15.75" customHeight="1">
      <c r="A54" s="79" t="s">
        <v>50</v>
      </c>
      <c r="B54" s="80">
        <f>B$117+B$134+'1.Distancias'!$B49*'2.Red'!$B$9+'2.Red'!$G$17</f>
        <v>44.2604</v>
      </c>
      <c r="C54" s="80">
        <f>C$117+C$134+'1.Distancias'!$B49*'2.Red'!$B$10+'2.Red'!$H$17</f>
        <v>44.6472</v>
      </c>
      <c r="D54" s="80">
        <f>D$117+D$134+'1.Distancias'!$B49*'2.Red'!$B$11+'2.Red'!$I$17</f>
        <v>45.8076</v>
      </c>
      <c r="E54" s="81">
        <f>E$117+E$134+'1.Distancias'!$B49*'2.Red'!$B$13+'2.Red'!$I$17</f>
        <v>46.3878</v>
      </c>
      <c r="F54" s="80">
        <f>F$117+F$134+'1.Distancias'!$B49*'2.Red'!$B$14+'2.Red'!$J$17</f>
        <v>43.9746</v>
      </c>
      <c r="G54" s="80">
        <f>G$117+G$134+'1.Distancias'!$B49*'2.Red'!$B$17+'2.Red'!$J$17</f>
        <v>45.9086</v>
      </c>
      <c r="H54" s="82">
        <f t="shared" ref="H54:K54" si="102">$K$5-B54</f>
        <v>55.4721</v>
      </c>
      <c r="I54" s="82">
        <f t="shared" si="102"/>
        <v>55.0853</v>
      </c>
      <c r="J54" s="82">
        <f t="shared" si="102"/>
        <v>53.9249</v>
      </c>
      <c r="K54" s="83">
        <f t="shared" si="102"/>
        <v>53.3447</v>
      </c>
      <c r="L54" s="82">
        <f t="shared" ref="L54:M54" si="103">$K$6-F54</f>
        <v>63.1002</v>
      </c>
      <c r="M54" s="82">
        <f t="shared" si="103"/>
        <v>61.1662</v>
      </c>
      <c r="N54" s="28"/>
      <c r="O54" s="78" t="s">
        <v>201</v>
      </c>
      <c r="P54" s="88">
        <f t="shared" ref="P54:R54" si="104">P47-P53</f>
        <v>60.08414616</v>
      </c>
      <c r="Q54" s="88">
        <f t="shared" si="104"/>
        <v>44.49853125</v>
      </c>
      <c r="R54" s="99">
        <f t="shared" si="104"/>
        <v>46.37882929</v>
      </c>
      <c r="S54" s="72"/>
      <c r="T54" s="96">
        <f>T47-T53</f>
        <v>62.99202916</v>
      </c>
      <c r="U54" s="72"/>
      <c r="V54" s="78" t="s">
        <v>201</v>
      </c>
      <c r="W54" s="28"/>
      <c r="X54" s="28"/>
      <c r="Y54" s="28"/>
      <c r="Z54" s="28"/>
      <c r="AA54" s="28"/>
      <c r="AB54" s="28"/>
      <c r="AC54" s="28"/>
    </row>
    <row r="55" ht="15.75" customHeight="1">
      <c r="A55" s="48" t="s">
        <v>51</v>
      </c>
      <c r="B55" s="80">
        <f>B$117+B$134+'1.Distancias'!$B50*'2.Red'!$B$9+'2.Red'!$G$17</f>
        <v>44.3114</v>
      </c>
      <c r="C55" s="80">
        <f>C$117+C$134+'1.Distancias'!$B50*'2.Red'!$B$10+'2.Red'!$H$17</f>
        <v>44.7152</v>
      </c>
      <c r="D55" s="80">
        <f>D$117+D$134+'1.Distancias'!$B50*'2.Red'!$B$11+'2.Red'!$I$17</f>
        <v>45.9266</v>
      </c>
      <c r="E55" s="81">
        <f>E$117+E$134+'1.Distancias'!$B50*'2.Red'!$B$13+'2.Red'!$I$17</f>
        <v>46.5323</v>
      </c>
      <c r="F55" s="80">
        <f>F$117+F$134+'1.Distancias'!$B50*'2.Red'!$B$14+'2.Red'!$J$17</f>
        <v>44.1361</v>
      </c>
      <c r="G55" s="80">
        <f>G$117+G$134+'1.Distancias'!$B50*'2.Red'!$B$17+'2.Red'!$J$17</f>
        <v>46.1551</v>
      </c>
      <c r="H55" s="82">
        <f t="shared" ref="H55:K55" si="105">$K$5-B55</f>
        <v>55.4211</v>
      </c>
      <c r="I55" s="82">
        <f t="shared" si="105"/>
        <v>55.0173</v>
      </c>
      <c r="J55" s="82">
        <f t="shared" si="105"/>
        <v>53.8059</v>
      </c>
      <c r="K55" s="83">
        <f t="shared" si="105"/>
        <v>53.2002</v>
      </c>
      <c r="L55" s="82">
        <f t="shared" ref="L55:M55" si="106">$K$6-F55</f>
        <v>62.9387</v>
      </c>
      <c r="M55" s="82">
        <f t="shared" si="106"/>
        <v>60.9197</v>
      </c>
      <c r="N55" s="28"/>
      <c r="O55" s="87" t="s">
        <v>202</v>
      </c>
      <c r="P55" s="90">
        <v>38.0</v>
      </c>
      <c r="Q55" s="90">
        <v>18.0</v>
      </c>
      <c r="R55" s="97">
        <v>25.0</v>
      </c>
      <c r="S55" s="72"/>
      <c r="T55" s="97">
        <v>15.0</v>
      </c>
      <c r="U55" s="72"/>
      <c r="V55" s="87" t="s">
        <v>202</v>
      </c>
      <c r="W55" s="28"/>
      <c r="X55" s="28"/>
      <c r="Y55" s="28"/>
      <c r="Z55" s="28"/>
      <c r="AA55" s="28"/>
      <c r="AB55" s="28"/>
      <c r="AC55" s="28"/>
    </row>
    <row r="56" ht="15.75" customHeight="1">
      <c r="A56" s="79" t="s">
        <v>52</v>
      </c>
      <c r="B56" s="80">
        <f>B$118+B$135+'1.Distancias'!$B51*'2.Red'!$B$9+'2.Red'!$G$17</f>
        <v>46.2152</v>
      </c>
      <c r="C56" s="80">
        <f>C$118+C$135+'1.Distancias'!$B51*'2.Red'!$B$10+'2.Red'!$H$17</f>
        <v>46.7536</v>
      </c>
      <c r="D56" s="80">
        <f>D$118+D$135+'1.Distancias'!$B51*'2.Red'!$B$11+'2.Red'!$I$17</f>
        <v>48.3688</v>
      </c>
      <c r="E56" s="81">
        <f>E$118+E$135+'1.Distancias'!$B51*'2.Red'!$B$13+'2.Red'!$I$17</f>
        <v>49.1764</v>
      </c>
      <c r="F56" s="80">
        <f>F$118+F$135+'1.Distancias'!$B51*'2.Red'!$B$14+'2.Red'!$J$17</f>
        <v>47.4148</v>
      </c>
      <c r="G56" s="80">
        <f>G$118+G$135+'1.Distancias'!$B51*'2.Red'!$B$17+'2.Red'!$J$17</f>
        <v>50.1068</v>
      </c>
      <c r="H56" s="82">
        <f t="shared" ref="H56:K56" si="107">$K$5-B56</f>
        <v>53.5173</v>
      </c>
      <c r="I56" s="82">
        <f t="shared" si="107"/>
        <v>52.9789</v>
      </c>
      <c r="J56" s="82">
        <f t="shared" si="107"/>
        <v>51.3637</v>
      </c>
      <c r="K56" s="83">
        <f t="shared" si="107"/>
        <v>50.5561</v>
      </c>
      <c r="L56" s="82">
        <f t="shared" ref="L56:M56" si="108">$K$6-F56</f>
        <v>59.66</v>
      </c>
      <c r="M56" s="82">
        <f t="shared" si="108"/>
        <v>56.968</v>
      </c>
      <c r="N56" s="28"/>
      <c r="O56" s="87" t="s">
        <v>184</v>
      </c>
      <c r="P56" s="90" t="str">
        <f t="shared" ref="P56:R56" si="109">IF(P54&gt;=P55,"SI","NO")</f>
        <v>SI</v>
      </c>
      <c r="Q56" s="90" t="str">
        <f t="shared" si="109"/>
        <v>SI</v>
      </c>
      <c r="R56" s="98" t="str">
        <f t="shared" si="109"/>
        <v>SI</v>
      </c>
      <c r="S56" s="72"/>
      <c r="T56" s="98" t="str">
        <f>IF(T54&gt;=T55,"SI","NO")</f>
        <v>SI</v>
      </c>
      <c r="U56" s="72"/>
      <c r="V56" s="87" t="s">
        <v>184</v>
      </c>
      <c r="W56" s="28"/>
      <c r="X56" s="28"/>
      <c r="Y56" s="28"/>
      <c r="Z56" s="28"/>
      <c r="AA56" s="28"/>
      <c r="AB56" s="28"/>
      <c r="AC56" s="28"/>
    </row>
    <row r="57" ht="15.75" customHeight="1">
      <c r="A57" s="79" t="s">
        <v>53</v>
      </c>
      <c r="B57" s="106">
        <f>B$118+B$135+'1.Distancias'!$B52*'2.Red'!$B$9+'2.Red'!$G$17</f>
        <v>46.4372</v>
      </c>
      <c r="C57" s="106">
        <f>C$118+C$135+'1.Distancias'!$B52*'2.Red'!$B$10+'2.Red'!$H$17</f>
        <v>47.0496</v>
      </c>
      <c r="D57" s="80">
        <f>D$118+D$135+'1.Distancias'!$B52*'2.Red'!$B$11+'2.Red'!$I$17</f>
        <v>48.8868</v>
      </c>
      <c r="E57" s="81">
        <f>E$118+E$135+'1.Distancias'!$B52*'2.Red'!$B$13+'2.Red'!$I$17</f>
        <v>49.8054</v>
      </c>
      <c r="F57" s="80">
        <f>F$118+F$135+'1.Distancias'!$B52*'2.Red'!$B$14+'2.Red'!$J$17</f>
        <v>48.1178</v>
      </c>
      <c r="G57" s="80">
        <f>G$118+G$135+'1.Distancias'!$B52*'2.Red'!$B$17+'2.Red'!$J$17</f>
        <v>51.1798</v>
      </c>
      <c r="H57" s="107">
        <f t="shared" ref="H57:K57" si="110">$K$5-B57</f>
        <v>53.2953</v>
      </c>
      <c r="I57" s="107">
        <f t="shared" si="110"/>
        <v>52.6829</v>
      </c>
      <c r="J57" s="82">
        <f t="shared" si="110"/>
        <v>50.8457</v>
      </c>
      <c r="K57" s="83">
        <f t="shared" si="110"/>
        <v>49.9271</v>
      </c>
      <c r="L57" s="82">
        <f t="shared" ref="L57:M57" si="111">$K$6-F57</f>
        <v>58.957</v>
      </c>
      <c r="M57" s="82">
        <f t="shared" si="111"/>
        <v>55.895</v>
      </c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ht="15.75" customHeight="1">
      <c r="A58" s="79" t="s">
        <v>54</v>
      </c>
      <c r="B58" s="80">
        <f>B$118+B$135+'1.Distancias'!$B53*'2.Red'!$B$9+'2.Red'!$G$17</f>
        <v>46.382</v>
      </c>
      <c r="C58" s="80">
        <f>C$118+C$135+'1.Distancias'!$B53*'2.Red'!$B$10+'2.Red'!$H$17</f>
        <v>46.976</v>
      </c>
      <c r="D58" s="80">
        <f>D$118+D$135+'1.Distancias'!$B53*'2.Red'!$B$11+'2.Red'!$I$17</f>
        <v>48.758</v>
      </c>
      <c r="E58" s="81">
        <f>E$118+E$135+'1.Distancias'!$B53*'2.Red'!$B$13+'2.Red'!$I$17</f>
        <v>49.649</v>
      </c>
      <c r="F58" s="80">
        <f>F$118+F$135+'1.Distancias'!$B53*'2.Red'!$B$14+'2.Red'!$J$17</f>
        <v>47.943</v>
      </c>
      <c r="G58" s="80">
        <f>G$118+G$135+'1.Distancias'!$B53*'2.Red'!$B$17+'2.Red'!$J$17</f>
        <v>50.913</v>
      </c>
      <c r="H58" s="82">
        <f t="shared" ref="H58:K58" si="112">$K$5-B58</f>
        <v>53.3505</v>
      </c>
      <c r="I58" s="82">
        <f t="shared" si="112"/>
        <v>52.7565</v>
      </c>
      <c r="J58" s="82">
        <f t="shared" si="112"/>
        <v>50.9745</v>
      </c>
      <c r="K58" s="83">
        <f t="shared" si="112"/>
        <v>50.0835</v>
      </c>
      <c r="L58" s="82">
        <f t="shared" ref="L58:M58" si="113">$K$6-F58</f>
        <v>59.1318</v>
      </c>
      <c r="M58" s="82">
        <f t="shared" si="113"/>
        <v>56.1618</v>
      </c>
      <c r="N58" s="28"/>
      <c r="O58" s="28"/>
      <c r="P58" s="28"/>
      <c r="Q58" s="28"/>
      <c r="R58" s="10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15.75" customHeight="1">
      <c r="A59" s="79" t="s">
        <v>55</v>
      </c>
      <c r="B59" s="80">
        <f>B$118+B$135+'1.Distancias'!$B54*'2.Red'!$B$9+'2.Red'!$G$17</f>
        <v>46.106</v>
      </c>
      <c r="C59" s="80">
        <f>C$118+C$135+'1.Distancias'!$B54*'2.Red'!$B$10+'2.Red'!$H$17</f>
        <v>46.608</v>
      </c>
      <c r="D59" s="80">
        <f>D$118+D$135+'1.Distancias'!$B54*'2.Red'!$B$11+'2.Red'!$I$17</f>
        <v>48.114</v>
      </c>
      <c r="E59" s="81">
        <f>E$118+E$135+'1.Distancias'!$B54*'2.Red'!$B$13+'2.Red'!$I$17</f>
        <v>48.867</v>
      </c>
      <c r="F59" s="80">
        <f>F$118+F$135+'1.Distancias'!$B54*'2.Red'!$B$14+'2.Red'!$J$17</f>
        <v>47.069</v>
      </c>
      <c r="G59" s="80">
        <f>G$118+G$135+'1.Distancias'!$B54*'2.Red'!$B$17+'2.Red'!$J$17</f>
        <v>49.579</v>
      </c>
      <c r="H59" s="82">
        <f t="shared" ref="H59:K59" si="114">$K$5-B59</f>
        <v>53.6265</v>
      </c>
      <c r="I59" s="82">
        <f t="shared" si="114"/>
        <v>53.1245</v>
      </c>
      <c r="J59" s="82">
        <f t="shared" si="114"/>
        <v>51.6185</v>
      </c>
      <c r="K59" s="83">
        <f t="shared" si="114"/>
        <v>50.8655</v>
      </c>
      <c r="L59" s="82">
        <f t="shared" ref="L59:M59" si="115">$K$6-F59</f>
        <v>60.0058</v>
      </c>
      <c r="M59" s="82">
        <f t="shared" si="115"/>
        <v>57.4958</v>
      </c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ht="15.75" customHeight="1">
      <c r="A60" s="79" t="s">
        <v>56</v>
      </c>
      <c r="B60" s="80">
        <f>B$118+B$135+'1.Distancias'!$B55*'2.Red'!$B$9+'2.Red'!$G$17</f>
        <v>46.157</v>
      </c>
      <c r="C60" s="80">
        <f>C$118+C$135+'1.Distancias'!$B55*'2.Red'!$B$10+'2.Red'!$H$17</f>
        <v>46.676</v>
      </c>
      <c r="D60" s="80">
        <f>D$118+D$135+'1.Distancias'!$B55*'2.Red'!$B$11+'2.Red'!$I$17</f>
        <v>48.233</v>
      </c>
      <c r="E60" s="81">
        <f>E$118+E$135+'1.Distancias'!$B55*'2.Red'!$B$13+'2.Red'!$I$17</f>
        <v>49.0115</v>
      </c>
      <c r="F60" s="80">
        <f>F$118+F$135+'1.Distancias'!$B55*'2.Red'!$B$14+'2.Red'!$J$17</f>
        <v>47.2305</v>
      </c>
      <c r="G60" s="80">
        <f>G$118+G$135+'1.Distancias'!$B55*'2.Red'!$B$17+'2.Red'!$J$17</f>
        <v>49.8255</v>
      </c>
      <c r="H60" s="82">
        <f t="shared" ref="H60:K60" si="116">$K$5-B60</f>
        <v>53.5755</v>
      </c>
      <c r="I60" s="82">
        <f t="shared" si="116"/>
        <v>53.0565</v>
      </c>
      <c r="J60" s="82">
        <f t="shared" si="116"/>
        <v>51.4995</v>
      </c>
      <c r="K60" s="83">
        <f t="shared" si="116"/>
        <v>50.721</v>
      </c>
      <c r="L60" s="82">
        <f t="shared" ref="L60:M60" si="117">$K$6-F60</f>
        <v>59.8443</v>
      </c>
      <c r="M60" s="82">
        <f t="shared" si="117"/>
        <v>57.2493</v>
      </c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ht="15.75" customHeight="1">
      <c r="A61" s="48" t="s">
        <v>57</v>
      </c>
      <c r="B61" s="80">
        <f>B$118+B$136+'1.Distancias'!$B56*'2.Red'!$B$9+'2.Red'!$G$17</f>
        <v>46.0496</v>
      </c>
      <c r="C61" s="80">
        <f>C$118+C$136+'1.Distancias'!$B56*'2.Red'!$B$10+'2.Red'!$H$17</f>
        <v>46.5328</v>
      </c>
      <c r="D61" s="80">
        <f>D$118+D$136+'1.Distancias'!$B56*'2.Red'!$B$11+'2.Red'!$I$17</f>
        <v>47.9824</v>
      </c>
      <c r="E61" s="81">
        <f>E$118+E$136+'1.Distancias'!$B56*'2.Red'!$B$13+'2.Red'!$I$17</f>
        <v>48.7072</v>
      </c>
      <c r="F61" s="80">
        <f>F$118+F$136+'1.Distancias'!$B56*'2.Red'!$B$14+'2.Red'!$J$17</f>
        <v>46.8904</v>
      </c>
      <c r="G61" s="80">
        <f>G$118+G$136+'1.Distancias'!$B56*'2.Red'!$B$17+'2.Red'!$J$17</f>
        <v>49.3064</v>
      </c>
      <c r="H61" s="82">
        <f t="shared" ref="H61:K61" si="118">$K$5-B61</f>
        <v>53.6829</v>
      </c>
      <c r="I61" s="82">
        <f t="shared" si="118"/>
        <v>53.1997</v>
      </c>
      <c r="J61" s="82">
        <f t="shared" si="118"/>
        <v>51.7501</v>
      </c>
      <c r="K61" s="83">
        <f t="shared" si="118"/>
        <v>51.0253</v>
      </c>
      <c r="L61" s="82">
        <f t="shared" ref="L61:M61" si="119">$K$6-F61</f>
        <v>60.1844</v>
      </c>
      <c r="M61" s="82">
        <f t="shared" si="119"/>
        <v>57.7684</v>
      </c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15.75" customHeight="1">
      <c r="A62" s="48" t="s">
        <v>58</v>
      </c>
      <c r="B62" s="80">
        <f>B$118+B$136+'1.Distancias'!$B57*'2.Red'!$B$9+'2.Red'!$G$17</f>
        <v>46.2716</v>
      </c>
      <c r="C62" s="80">
        <f>C$118+C$136+'1.Distancias'!$B57*'2.Red'!$B$10+'2.Red'!$H$17</f>
        <v>46.8288</v>
      </c>
      <c r="D62" s="80">
        <f>D$118+D$136+'1.Distancias'!$B57*'2.Red'!$B$11+'2.Red'!$I$17</f>
        <v>48.5004</v>
      </c>
      <c r="E62" s="81">
        <f>E$118+E$136+'1.Distancias'!$B57*'2.Red'!$B$13+'2.Red'!$I$17</f>
        <v>49.3362</v>
      </c>
      <c r="F62" s="80">
        <f>F$118+F$136+'1.Distancias'!$B57*'2.Red'!$B$14+'2.Red'!$J$17</f>
        <v>47.5934</v>
      </c>
      <c r="G62" s="80">
        <f>G$118+G$136+'1.Distancias'!$B57*'2.Red'!$B$17+'2.Red'!$J$17</f>
        <v>50.3794</v>
      </c>
      <c r="H62" s="82">
        <f t="shared" ref="H62:K62" si="120">$K$5-B62</f>
        <v>53.4609</v>
      </c>
      <c r="I62" s="82">
        <f t="shared" si="120"/>
        <v>52.9037</v>
      </c>
      <c r="J62" s="82">
        <f t="shared" si="120"/>
        <v>51.2321</v>
      </c>
      <c r="K62" s="83">
        <f t="shared" si="120"/>
        <v>50.3963</v>
      </c>
      <c r="L62" s="82">
        <f t="shared" ref="L62:M62" si="121">$K$6-F62</f>
        <v>59.4814</v>
      </c>
      <c r="M62" s="82">
        <f t="shared" si="121"/>
        <v>56.6954</v>
      </c>
      <c r="N62" s="28"/>
      <c r="O62" s="28"/>
      <c r="P62" s="28"/>
      <c r="Q62" s="28"/>
      <c r="R62" s="28"/>
      <c r="S62" s="28"/>
      <c r="T62" s="28"/>
      <c r="U62" s="28"/>
      <c r="V62" s="28" t="str">
        <f>AA48</f>
        <v/>
      </c>
      <c r="W62" s="28"/>
      <c r="X62" s="28"/>
      <c r="Y62" s="28"/>
      <c r="Z62" s="28"/>
      <c r="AA62" s="28"/>
      <c r="AB62" s="28"/>
      <c r="AC62" s="28"/>
    </row>
    <row r="63" ht="15.75" customHeight="1">
      <c r="A63" s="48" t="s">
        <v>59</v>
      </c>
      <c r="B63" s="80">
        <f>B$118+B$136+'1.Distancias'!$B58*'2.Red'!$B$9+'2.Red'!$G$17</f>
        <v>46.2164</v>
      </c>
      <c r="C63" s="80">
        <f>C$118+C$136+'1.Distancias'!$B58*'2.Red'!$B$10+'2.Red'!$H$17</f>
        <v>46.7552</v>
      </c>
      <c r="D63" s="80">
        <f>D$118+D$136+'1.Distancias'!$B58*'2.Red'!$B$11+'2.Red'!$I$17</f>
        <v>48.3716</v>
      </c>
      <c r="E63" s="81">
        <f>E$118+E$136+'1.Distancias'!$B58*'2.Red'!$B$13+'2.Red'!$I$17</f>
        <v>49.1798</v>
      </c>
      <c r="F63" s="80">
        <f>F$118+F$136+'1.Distancias'!$B58*'2.Red'!$B$14+'2.Red'!$J$17</f>
        <v>47.4186</v>
      </c>
      <c r="G63" s="80">
        <f>G$118+G$136+'1.Distancias'!$B58*'2.Red'!$B$17+'2.Red'!$J$17</f>
        <v>50.1126</v>
      </c>
      <c r="H63" s="82">
        <f t="shared" ref="H63:K63" si="122">$K$5-B63</f>
        <v>53.5161</v>
      </c>
      <c r="I63" s="82">
        <f t="shared" si="122"/>
        <v>52.9773</v>
      </c>
      <c r="J63" s="82">
        <f t="shared" si="122"/>
        <v>51.3609</v>
      </c>
      <c r="K63" s="83">
        <f t="shared" si="122"/>
        <v>50.5527</v>
      </c>
      <c r="L63" s="82">
        <f t="shared" ref="L63:M63" si="123">$K$6-F63</f>
        <v>59.6562</v>
      </c>
      <c r="M63" s="82">
        <f t="shared" si="123"/>
        <v>56.9622</v>
      </c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ht="15.75" customHeight="1">
      <c r="A64" s="48" t="s">
        <v>60</v>
      </c>
      <c r="B64" s="80">
        <f>B$118+B$136+'1.Distancias'!$B59*'2.Red'!$B$9+'2.Red'!$G$17</f>
        <v>45.9404</v>
      </c>
      <c r="C64" s="80">
        <f>C$118+C$136+'1.Distancias'!$B59*'2.Red'!$B$10+'2.Red'!$H$17</f>
        <v>46.3872</v>
      </c>
      <c r="D64" s="80">
        <f>D$118+D$136+'1.Distancias'!$B59*'2.Red'!$B$11+'2.Red'!$I$17</f>
        <v>47.7276</v>
      </c>
      <c r="E64" s="81">
        <f>E$118+E$136+'1.Distancias'!$B59*'2.Red'!$B$13+'2.Red'!$I$17</f>
        <v>48.3978</v>
      </c>
      <c r="F64" s="80">
        <f>F$118+F$136+'1.Distancias'!$B59*'2.Red'!$B$14+'2.Red'!$J$17</f>
        <v>46.5446</v>
      </c>
      <c r="G64" s="80">
        <f>G$118+G$136+'1.Distancias'!$B59*'2.Red'!$B$17+'2.Red'!$J$17</f>
        <v>48.7786</v>
      </c>
      <c r="H64" s="82">
        <f t="shared" ref="H64:K64" si="124">$K$5-B64</f>
        <v>53.7921</v>
      </c>
      <c r="I64" s="82">
        <f t="shared" si="124"/>
        <v>53.3453</v>
      </c>
      <c r="J64" s="82">
        <f t="shared" si="124"/>
        <v>52.0049</v>
      </c>
      <c r="K64" s="83">
        <f t="shared" si="124"/>
        <v>51.3347</v>
      </c>
      <c r="L64" s="82">
        <f t="shared" ref="L64:M64" si="125">$K$6-F64</f>
        <v>60.5302</v>
      </c>
      <c r="M64" s="82">
        <f t="shared" si="125"/>
        <v>58.2962</v>
      </c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15.75" customHeight="1">
      <c r="A65" s="48" t="s">
        <v>61</v>
      </c>
      <c r="B65" s="80">
        <f>B$118+B$136+'1.Distancias'!$B60*'2.Red'!$B$9+'2.Red'!$G$17</f>
        <v>45.9914</v>
      </c>
      <c r="C65" s="80">
        <f>C$118+C$136+'1.Distancias'!$B60*'2.Red'!$B$10+'2.Red'!$H$17</f>
        <v>46.4552</v>
      </c>
      <c r="D65" s="80">
        <f>D$118+D$136+'1.Distancias'!$B60*'2.Red'!$B$11+'2.Red'!$I$17</f>
        <v>47.8466</v>
      </c>
      <c r="E65" s="81">
        <f>E$118+E$136+'1.Distancias'!$B60*'2.Red'!$B$13+'2.Red'!$I$17</f>
        <v>48.5423</v>
      </c>
      <c r="F65" s="80">
        <f>F$118+F$136+'1.Distancias'!$B60*'2.Red'!$B$14+'2.Red'!$J$17</f>
        <v>46.7061</v>
      </c>
      <c r="G65" s="80">
        <f>G$118+G$136+'1.Distancias'!$B60*'2.Red'!$B$17+'2.Red'!$J$17</f>
        <v>49.0251</v>
      </c>
      <c r="H65" s="82">
        <f t="shared" ref="H65:K65" si="126">$K$5-B65</f>
        <v>53.7411</v>
      </c>
      <c r="I65" s="82">
        <f t="shared" si="126"/>
        <v>53.2773</v>
      </c>
      <c r="J65" s="82">
        <f t="shared" si="126"/>
        <v>51.8859</v>
      </c>
      <c r="K65" s="83">
        <f t="shared" si="126"/>
        <v>51.1902</v>
      </c>
      <c r="L65" s="82">
        <f t="shared" ref="L65:M65" si="127">$K$6-F65</f>
        <v>60.3687</v>
      </c>
      <c r="M65" s="82">
        <f t="shared" si="127"/>
        <v>58.0497</v>
      </c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ht="15.75" customHeight="1">
      <c r="A66" s="79" t="s">
        <v>62</v>
      </c>
      <c r="B66" s="80">
        <f>B$119+B$137+'1.Distancias'!$B61*'2.Red'!$B$9+'2.Red'!$G$17</f>
        <v>43.8952</v>
      </c>
      <c r="C66" s="80">
        <f>C$119+C$137+'1.Distancias'!$B61*'2.Red'!$B$10+'2.Red'!$H$17</f>
        <v>44.4936</v>
      </c>
      <c r="D66" s="80">
        <f>D$119+D$137+'1.Distancias'!$B61*'2.Red'!$B$11+'2.Red'!$I$17</f>
        <v>46.2888</v>
      </c>
      <c r="E66" s="81">
        <f>E$119+E$137+'1.Distancias'!$B61*'2.Red'!$B$13+'2.Red'!$I$17</f>
        <v>47.1864</v>
      </c>
      <c r="F66" s="80">
        <f>F$119+F$137+'1.Distancias'!$B61*'2.Red'!$B$14+'2.Red'!$J$17</f>
        <v>45.9848</v>
      </c>
      <c r="G66" s="80">
        <f>G$119+G$137+'1.Distancias'!$B61*'2.Red'!$B$17+'2.Red'!$J$17</f>
        <v>48.9768</v>
      </c>
      <c r="H66" s="82">
        <f t="shared" ref="H66:K66" si="128">$K$5-B66</f>
        <v>55.8373</v>
      </c>
      <c r="I66" s="82">
        <f t="shared" si="128"/>
        <v>55.2389</v>
      </c>
      <c r="J66" s="82">
        <f t="shared" si="128"/>
        <v>53.4437</v>
      </c>
      <c r="K66" s="83">
        <f t="shared" si="128"/>
        <v>52.5461</v>
      </c>
      <c r="L66" s="82">
        <f t="shared" ref="L66:M66" si="129">$K$6-F66</f>
        <v>61.09</v>
      </c>
      <c r="M66" s="82">
        <f t="shared" si="129"/>
        <v>58.098</v>
      </c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 ht="15.75" customHeight="1">
      <c r="A67" s="79" t="s">
        <v>63</v>
      </c>
      <c r="B67" s="80">
        <f>B$119+B$137+'1.Distancias'!$B62*'2.Red'!$B$9+'2.Red'!$G$17</f>
        <v>44.1172</v>
      </c>
      <c r="C67" s="80">
        <f>C$119+C$137+'1.Distancias'!$B62*'2.Red'!$B$10+'2.Red'!$H$17</f>
        <v>44.7896</v>
      </c>
      <c r="D67" s="80">
        <f>D$119+D$137+'1.Distancias'!$B62*'2.Red'!$B$11+'2.Red'!$I$17</f>
        <v>46.8068</v>
      </c>
      <c r="E67" s="80">
        <f>E$119+E$137+'1.Distancias'!$B62*'2.Red'!$B$13+'2.Red'!$I$17</f>
        <v>47.8154</v>
      </c>
      <c r="F67" s="80">
        <f>F$119+F$137+'1.Distancias'!$B62*'2.Red'!$B$14+'2.Red'!$J$17</f>
        <v>46.6878</v>
      </c>
      <c r="G67" s="80">
        <f>G$119+G$137+'1.Distancias'!$B62*'2.Red'!$B$17+'2.Red'!$J$17</f>
        <v>50.0498</v>
      </c>
      <c r="H67" s="82">
        <f t="shared" ref="H67:K67" si="130">$K$5-B67</f>
        <v>55.6153</v>
      </c>
      <c r="I67" s="82">
        <f t="shared" si="130"/>
        <v>54.9429</v>
      </c>
      <c r="J67" s="82">
        <f t="shared" si="130"/>
        <v>52.9257</v>
      </c>
      <c r="K67" s="83">
        <f t="shared" si="130"/>
        <v>51.9171</v>
      </c>
      <c r="L67" s="82">
        <f t="shared" ref="L67:M67" si="131">$K$6-F67</f>
        <v>60.387</v>
      </c>
      <c r="M67" s="82">
        <f t="shared" si="131"/>
        <v>57.025</v>
      </c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5.75" customHeight="1">
      <c r="A68" s="79" t="s">
        <v>64</v>
      </c>
      <c r="B68" s="80">
        <f>B$119+B$137+'1.Distancias'!$B63*'2.Red'!$B$9+'2.Red'!$G$17</f>
        <v>44.062</v>
      </c>
      <c r="C68" s="80">
        <f>C$119+C$137+'1.Distancias'!$B63*'2.Red'!$B$10+'2.Red'!$H$17</f>
        <v>44.716</v>
      </c>
      <c r="D68" s="80">
        <f>D$119+D$137+'1.Distancias'!$B63*'2.Red'!$B$11+'2.Red'!$I$17</f>
        <v>46.678</v>
      </c>
      <c r="E68" s="81">
        <f>E$119+E$137+'1.Distancias'!$B63*'2.Red'!$B$13+'2.Red'!$I$17</f>
        <v>47.659</v>
      </c>
      <c r="F68" s="80">
        <f>F$119+F$137+'1.Distancias'!$B63*'2.Red'!$B$14+'2.Red'!$J$17</f>
        <v>46.513</v>
      </c>
      <c r="G68" s="80">
        <f>G$119+G$137+'1.Distancias'!$B63*'2.Red'!$B$17+'2.Red'!$J$17</f>
        <v>49.783</v>
      </c>
      <c r="H68" s="82">
        <f t="shared" ref="H68:K68" si="132">$K$5-B68</f>
        <v>55.6705</v>
      </c>
      <c r="I68" s="82">
        <f t="shared" si="132"/>
        <v>55.0165</v>
      </c>
      <c r="J68" s="82">
        <f t="shared" si="132"/>
        <v>53.0545</v>
      </c>
      <c r="K68" s="83">
        <f t="shared" si="132"/>
        <v>52.0735</v>
      </c>
      <c r="L68" s="82">
        <f t="shared" ref="L68:M68" si="133">$K$6-F68</f>
        <v>60.5618</v>
      </c>
      <c r="M68" s="82">
        <f t="shared" si="133"/>
        <v>57.2918</v>
      </c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 ht="15.75" customHeight="1">
      <c r="A69" s="79" t="s">
        <v>65</v>
      </c>
      <c r="B69" s="80">
        <f>B$119+B$137+'1.Distancias'!$B64*'2.Red'!$B$9+'2.Red'!$G$17</f>
        <v>43.786</v>
      </c>
      <c r="C69" s="80">
        <f>C$119+C$137+'1.Distancias'!$B64*'2.Red'!$B$10+'2.Red'!$H$17</f>
        <v>44.348</v>
      </c>
      <c r="D69" s="80">
        <f>D$119+D$137+'1.Distancias'!$B64*'2.Red'!$B$11+'2.Red'!$I$17</f>
        <v>46.034</v>
      </c>
      <c r="E69" s="81">
        <f>E$119+E$137+'1.Distancias'!$B64*'2.Red'!$B$13+'2.Red'!$I$17</f>
        <v>46.877</v>
      </c>
      <c r="F69" s="80">
        <f>F$119+F$137+'1.Distancias'!$B64*'2.Red'!$B$14+'2.Red'!$J$17</f>
        <v>45.639</v>
      </c>
      <c r="G69" s="80">
        <f>G$119+G$137+'1.Distancias'!$B64*'2.Red'!$B$17+'2.Red'!$J$17</f>
        <v>48.449</v>
      </c>
      <c r="H69" s="82">
        <f t="shared" ref="H69:K69" si="134">$K$5-B69</f>
        <v>55.9465</v>
      </c>
      <c r="I69" s="82">
        <f t="shared" si="134"/>
        <v>55.3845</v>
      </c>
      <c r="J69" s="82">
        <f t="shared" si="134"/>
        <v>53.6985</v>
      </c>
      <c r="K69" s="83">
        <f t="shared" si="134"/>
        <v>52.8555</v>
      </c>
      <c r="L69" s="82">
        <f t="shared" ref="L69:M69" si="135">$K$6-F69</f>
        <v>61.4358</v>
      </c>
      <c r="M69" s="82">
        <f t="shared" si="135"/>
        <v>58.6258</v>
      </c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 ht="15.75" customHeight="1">
      <c r="A70" s="79" t="s">
        <v>66</v>
      </c>
      <c r="B70" s="80">
        <f>B$119+B$137+'1.Distancias'!$B65*'2.Red'!$B$9+'2.Red'!$G$17</f>
        <v>43.837</v>
      </c>
      <c r="C70" s="80">
        <f>C$119+C$137+'1.Distancias'!$B65*'2.Red'!$B$10+'2.Red'!$H$17</f>
        <v>44.416</v>
      </c>
      <c r="D70" s="80">
        <f>D$119+D$137+'1.Distancias'!$B65*'2.Red'!$B$11+'2.Red'!$I$17</f>
        <v>46.153</v>
      </c>
      <c r="E70" s="81">
        <f>E$119+E$137+'1.Distancias'!$B65*'2.Red'!$B$13+'2.Red'!$I$17</f>
        <v>47.0215</v>
      </c>
      <c r="F70" s="80">
        <f>F$119+F$137+'1.Distancias'!$B65*'2.Red'!$B$14+'2.Red'!$J$17</f>
        <v>45.8005</v>
      </c>
      <c r="G70" s="80">
        <f>G$119+G$137+'1.Distancias'!$B65*'2.Red'!$B$17+'2.Red'!$J$17</f>
        <v>48.6955</v>
      </c>
      <c r="H70" s="82">
        <f t="shared" ref="H70:K70" si="136">$K$5-B70</f>
        <v>55.8955</v>
      </c>
      <c r="I70" s="82">
        <f t="shared" si="136"/>
        <v>55.3165</v>
      </c>
      <c r="J70" s="82">
        <f t="shared" si="136"/>
        <v>53.5795</v>
      </c>
      <c r="K70" s="83">
        <f t="shared" si="136"/>
        <v>52.711</v>
      </c>
      <c r="L70" s="82">
        <f t="shared" ref="L70:M70" si="137">$K$6-F70</f>
        <v>61.2743</v>
      </c>
      <c r="M70" s="82">
        <f t="shared" si="137"/>
        <v>58.3793</v>
      </c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5.75" customHeight="1">
      <c r="A71" s="48" t="s">
        <v>67</v>
      </c>
      <c r="B71" s="80">
        <f>B$119+B$138+'1.Distancias'!$B66*'2.Red'!$B$9+'2.Red'!$G$17</f>
        <v>43.7296</v>
      </c>
      <c r="C71" s="80">
        <f>C$119+C$138+'1.Distancias'!$B66*'2.Red'!$B$10+'2.Red'!$H$17</f>
        <v>44.2728</v>
      </c>
      <c r="D71" s="80">
        <f>D$119+D$138+'1.Distancias'!$B66*'2.Red'!$B$11+'2.Red'!$I$17</f>
        <v>45.9024</v>
      </c>
      <c r="E71" s="81">
        <f>E$119+E$138+'1.Distancias'!$B66*'2.Red'!$B$13+'2.Red'!$I$17</f>
        <v>46.7172</v>
      </c>
      <c r="F71" s="80">
        <f>F$119+F$138+'1.Distancias'!$B66*'2.Red'!$B$14+'2.Red'!$J$17</f>
        <v>45.4604</v>
      </c>
      <c r="G71" s="80">
        <f>G$119+G$138+'1.Distancias'!$B66*'2.Red'!$B$17+'2.Red'!$J$17</f>
        <v>48.1764</v>
      </c>
      <c r="H71" s="82">
        <f t="shared" ref="H71:K71" si="138">$K$5-B71</f>
        <v>56.0029</v>
      </c>
      <c r="I71" s="82">
        <f t="shared" si="138"/>
        <v>55.4597</v>
      </c>
      <c r="J71" s="82">
        <f t="shared" si="138"/>
        <v>53.8301</v>
      </c>
      <c r="K71" s="83">
        <f t="shared" si="138"/>
        <v>53.0153</v>
      </c>
      <c r="L71" s="82">
        <f t="shared" ref="L71:M71" si="139">$K$6-F71</f>
        <v>61.6144</v>
      </c>
      <c r="M71" s="82">
        <f t="shared" si="139"/>
        <v>58.8984</v>
      </c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ht="15.75" customHeight="1">
      <c r="A72" s="48" t="s">
        <v>68</v>
      </c>
      <c r="B72" s="80">
        <f>B$119+B$138+'1.Distancias'!$B67*'2.Red'!$B$9+'2.Red'!$G$17</f>
        <v>43.9516</v>
      </c>
      <c r="C72" s="80">
        <f>C$119+C$138+'1.Distancias'!$B67*'2.Red'!$B$10+'2.Red'!$H$17</f>
        <v>44.5688</v>
      </c>
      <c r="D72" s="80">
        <f>D$119+D$138+'1.Distancias'!$B67*'2.Red'!$B$11+'2.Red'!$I$17</f>
        <v>46.4204</v>
      </c>
      <c r="E72" s="81">
        <f>E$119+E$138+'1.Distancias'!$B67*'2.Red'!$B$13+'2.Red'!$I$17</f>
        <v>47.3462</v>
      </c>
      <c r="F72" s="80">
        <f>F$119+F$138+'1.Distancias'!$B67*'2.Red'!$B$14+'2.Red'!$J$17</f>
        <v>46.1634</v>
      </c>
      <c r="G72" s="80">
        <f>G$119+G$138+'1.Distancias'!$B67*'2.Red'!$B$17+'2.Red'!$J$17</f>
        <v>49.2494</v>
      </c>
      <c r="H72" s="82">
        <f t="shared" ref="H72:K72" si="140">$K$5-B72</f>
        <v>55.7809</v>
      </c>
      <c r="I72" s="82">
        <f t="shared" si="140"/>
        <v>55.1637</v>
      </c>
      <c r="J72" s="82">
        <f t="shared" si="140"/>
        <v>53.3121</v>
      </c>
      <c r="K72" s="83">
        <f t="shared" si="140"/>
        <v>52.3863</v>
      </c>
      <c r="L72" s="82">
        <f t="shared" ref="L72:M72" si="141">$K$6-F72</f>
        <v>60.9114</v>
      </c>
      <c r="M72" s="82">
        <f t="shared" si="141"/>
        <v>57.8254</v>
      </c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ht="15.75" customHeight="1">
      <c r="A73" s="48" t="s">
        <v>69</v>
      </c>
      <c r="B73" s="80">
        <f>B$119+B$138+'1.Distancias'!$B68*'2.Red'!$B$9+'2.Red'!$G$17</f>
        <v>43.8964</v>
      </c>
      <c r="C73" s="80">
        <f>C$119+C$138+'1.Distancias'!$B68*'2.Red'!$B$10+'2.Red'!$H$17</f>
        <v>44.4952</v>
      </c>
      <c r="D73" s="80">
        <f>D$119+D$138+'1.Distancias'!$B68*'2.Red'!$B$11+'2.Red'!$I$17</f>
        <v>46.2916</v>
      </c>
      <c r="E73" s="81">
        <f>E$119+E$138+'1.Distancias'!$B68*'2.Red'!$B$13+'2.Red'!$I$17</f>
        <v>47.1898</v>
      </c>
      <c r="F73" s="80">
        <f>F$119+F$138+'1.Distancias'!$B68*'2.Red'!$B$14+'2.Red'!$J$17</f>
        <v>45.9886</v>
      </c>
      <c r="G73" s="80">
        <f>G$119+G$138+'1.Distancias'!$B68*'2.Red'!$B$17+'2.Red'!$J$17</f>
        <v>48.9826</v>
      </c>
      <c r="H73" s="82">
        <f t="shared" ref="H73:K73" si="142">$K$5-B73</f>
        <v>55.8361</v>
      </c>
      <c r="I73" s="82">
        <f t="shared" si="142"/>
        <v>55.2373</v>
      </c>
      <c r="J73" s="82">
        <f t="shared" si="142"/>
        <v>53.4409</v>
      </c>
      <c r="K73" s="83">
        <f t="shared" si="142"/>
        <v>52.5427</v>
      </c>
      <c r="L73" s="82">
        <f t="shared" ref="L73:M73" si="143">$K$6-F73</f>
        <v>61.0862</v>
      </c>
      <c r="M73" s="82">
        <f t="shared" si="143"/>
        <v>58.0922</v>
      </c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ht="15.75" customHeight="1">
      <c r="A74" s="48" t="s">
        <v>70</v>
      </c>
      <c r="B74" s="80">
        <f>B$119+B$138+'1.Distancias'!$B69*'2.Red'!$B$9+'2.Red'!$G$17</f>
        <v>43.6204</v>
      </c>
      <c r="C74" s="80">
        <f>C$119+C$138+'1.Distancias'!$B69*'2.Red'!$B$10+'2.Red'!$H$17</f>
        <v>44.1272</v>
      </c>
      <c r="D74" s="80">
        <f>D$119+D$138+'1.Distancias'!$B69*'2.Red'!$B$11+'2.Red'!$I$17</f>
        <v>45.6476</v>
      </c>
      <c r="E74" s="81">
        <f>E$119+E$138+'1.Distancias'!$B69*'2.Red'!$B$13+'2.Red'!$I$17</f>
        <v>46.4078</v>
      </c>
      <c r="F74" s="80">
        <f>F$119+F$138+'1.Distancias'!$B69*'2.Red'!$B$14+'2.Red'!$J$17</f>
        <v>45.1146</v>
      </c>
      <c r="G74" s="80">
        <f>G$119+G$138+'1.Distancias'!$B69*'2.Red'!$B$17+'2.Red'!$J$17</f>
        <v>47.6486</v>
      </c>
      <c r="H74" s="82">
        <f t="shared" ref="H74:K74" si="144">$K$5-B74</f>
        <v>56.1121</v>
      </c>
      <c r="I74" s="82">
        <f t="shared" si="144"/>
        <v>55.6053</v>
      </c>
      <c r="J74" s="82">
        <f t="shared" si="144"/>
        <v>54.0849</v>
      </c>
      <c r="K74" s="83">
        <f t="shared" si="144"/>
        <v>53.3247</v>
      </c>
      <c r="L74" s="82">
        <f t="shared" ref="L74:M74" si="145">$K$6-F74</f>
        <v>61.9602</v>
      </c>
      <c r="M74" s="82">
        <f t="shared" si="145"/>
        <v>59.4262</v>
      </c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ht="15.75" customHeight="1">
      <c r="A75" s="48" t="s">
        <v>71</v>
      </c>
      <c r="B75" s="80">
        <f>B$119+B$138+'1.Distancias'!$B70*'2.Red'!$B$9+'2.Red'!$G$17</f>
        <v>43.6714</v>
      </c>
      <c r="C75" s="80">
        <f>C$119+C$138+'1.Distancias'!$B70*'2.Red'!$B$10+'2.Red'!$H$17</f>
        <v>44.1952</v>
      </c>
      <c r="D75" s="80">
        <f>D$119+D$138+'1.Distancias'!$B70*'2.Red'!$B$11+'2.Red'!$I$17</f>
        <v>45.7666</v>
      </c>
      <c r="E75" s="81">
        <f>E$119+E$138+'1.Distancias'!$B70*'2.Red'!$B$13+'2.Red'!$I$17</f>
        <v>46.5523</v>
      </c>
      <c r="F75" s="80">
        <f>F$119+F$138+'1.Distancias'!$B70*'2.Red'!$B$14+'2.Red'!$J$17</f>
        <v>45.2761</v>
      </c>
      <c r="G75" s="80">
        <f>G$119+G$138+'1.Distancias'!$B70*'2.Red'!$B$17+'2.Red'!$J$17</f>
        <v>47.8951</v>
      </c>
      <c r="H75" s="82">
        <f t="shared" ref="H75:K75" si="146">$K$5-B75</f>
        <v>56.0611</v>
      </c>
      <c r="I75" s="82">
        <f t="shared" si="146"/>
        <v>55.5373</v>
      </c>
      <c r="J75" s="82">
        <f t="shared" si="146"/>
        <v>53.9659</v>
      </c>
      <c r="K75" s="83">
        <f t="shared" si="146"/>
        <v>53.1802</v>
      </c>
      <c r="L75" s="82">
        <f t="shared" ref="L75:M75" si="147">$K$6-F75</f>
        <v>61.7987</v>
      </c>
      <c r="M75" s="82">
        <f t="shared" si="147"/>
        <v>59.1797</v>
      </c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ht="15.75" customHeight="1">
      <c r="A76" s="79" t="s">
        <v>72</v>
      </c>
      <c r="B76" s="80">
        <f>B$120+B$139+'1.Distancias'!$B71*'2.Red'!$B$9+'2.Red'!$G$17</f>
        <v>46.0752</v>
      </c>
      <c r="C76" s="80">
        <f>C$120+C$139+'1.Distancias'!$B71*'2.Red'!$B$10+'2.Red'!$H$17</f>
        <v>46.7336</v>
      </c>
      <c r="D76" s="80">
        <f>D$120+D$139+'1.Distancias'!$B71*'2.Red'!$B$11+'2.Red'!$I$17</f>
        <v>48.7088</v>
      </c>
      <c r="E76" s="81">
        <f>E$120+E$139+'1.Distancias'!$B71*'2.Red'!$B$13+'2.Red'!$I$17</f>
        <v>49.6964</v>
      </c>
      <c r="F76" s="80">
        <f>F$120+F$139+'1.Distancias'!$B71*'2.Red'!$B$14+'2.Red'!$J$17</f>
        <v>49.0548</v>
      </c>
      <c r="G76" s="80">
        <f>G$120+G$139+'1.Distancias'!$B71*'2.Red'!$B$17+'2.Red'!$J$17</f>
        <v>52.3468</v>
      </c>
      <c r="H76" s="82">
        <f t="shared" ref="H76:K76" si="148">$K$5-B76</f>
        <v>53.6573</v>
      </c>
      <c r="I76" s="82">
        <f t="shared" si="148"/>
        <v>52.9989</v>
      </c>
      <c r="J76" s="82">
        <f t="shared" si="148"/>
        <v>51.0237</v>
      </c>
      <c r="K76" s="83">
        <f t="shared" si="148"/>
        <v>50.0361</v>
      </c>
      <c r="L76" s="82">
        <f t="shared" ref="L76:M76" si="149">$K$6-F76</f>
        <v>58.02</v>
      </c>
      <c r="M76" s="82">
        <f t="shared" si="149"/>
        <v>54.728</v>
      </c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 ht="15.75" customHeight="1">
      <c r="A77" s="79" t="s">
        <v>73</v>
      </c>
      <c r="B77" s="80">
        <f>B$120+B$139+'1.Distancias'!$B72*'2.Red'!$B$9+'2.Red'!$G$17</f>
        <v>46.2972</v>
      </c>
      <c r="C77" s="80">
        <f>C$120+C$139+'1.Distancias'!$B72*'2.Red'!$B$10+'2.Red'!$H$17</f>
        <v>47.0296</v>
      </c>
      <c r="D77" s="106">
        <f>D$120+D$139+'1.Distancias'!$B72*'2.Red'!$B$11+'2.Red'!$I$17</f>
        <v>49.2268</v>
      </c>
      <c r="E77" s="106">
        <f>E$120+E$139+'1.Distancias'!$B72*'2.Red'!$B$13+'2.Red'!$I$17</f>
        <v>50.3254</v>
      </c>
      <c r="F77" s="106">
        <f>F$120+F$139+'1.Distancias'!$B72*'2.Red'!$B$14+'2.Red'!$J$17</f>
        <v>49.7578</v>
      </c>
      <c r="G77" s="106">
        <f>G$120+G$139+'1.Distancias'!$B72*'2.Red'!$B$17+'2.Red'!$J$17</f>
        <v>53.4198</v>
      </c>
      <c r="H77" s="82">
        <f t="shared" ref="H77:K77" si="150">$K$5-B77</f>
        <v>53.4353</v>
      </c>
      <c r="I77" s="82">
        <f t="shared" si="150"/>
        <v>52.7029</v>
      </c>
      <c r="J77" s="107">
        <f t="shared" si="150"/>
        <v>50.5057</v>
      </c>
      <c r="K77" s="107">
        <f t="shared" si="150"/>
        <v>49.4071</v>
      </c>
      <c r="L77" s="107">
        <f t="shared" ref="L77:M77" si="151">$K$6-F77</f>
        <v>57.317</v>
      </c>
      <c r="M77" s="107">
        <f t="shared" si="151"/>
        <v>53.655</v>
      </c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 ht="15.75" customHeight="1">
      <c r="A78" s="79" t="s">
        <v>74</v>
      </c>
      <c r="B78" s="80">
        <f>B$120+B$139+'1.Distancias'!$B73*'2.Red'!$B$9+'2.Red'!$G$17</f>
        <v>46.242</v>
      </c>
      <c r="C78" s="80">
        <f>C$120+C$139+'1.Distancias'!$B73*'2.Red'!$B$10+'2.Red'!$H$17</f>
        <v>46.956</v>
      </c>
      <c r="D78" s="80">
        <f>D$120+D$139+'1.Distancias'!$B73*'2.Red'!$B$11+'2.Red'!$I$17</f>
        <v>49.098</v>
      </c>
      <c r="E78" s="81">
        <f>E$120+E$139+'1.Distancias'!$B73*'2.Red'!$B$13+'2.Red'!$I$17</f>
        <v>50.169</v>
      </c>
      <c r="F78" s="80">
        <f>F$120+F$139+'1.Distancias'!$B73*'2.Red'!$B$14+'2.Red'!$J$17</f>
        <v>49.583</v>
      </c>
      <c r="G78" s="80">
        <f>G$120+G$139+'1.Distancias'!$B73*'2.Red'!$B$17+'2.Red'!$J$17</f>
        <v>53.153</v>
      </c>
      <c r="H78" s="82">
        <f t="shared" ref="H78:K78" si="152">$K$5-B78</f>
        <v>53.4905</v>
      </c>
      <c r="I78" s="82">
        <f t="shared" si="152"/>
        <v>52.7765</v>
      </c>
      <c r="J78" s="82">
        <f t="shared" si="152"/>
        <v>50.6345</v>
      </c>
      <c r="K78" s="83">
        <f t="shared" si="152"/>
        <v>49.5635</v>
      </c>
      <c r="L78" s="82">
        <f t="shared" ref="L78:M78" si="153">$K$6-F78</f>
        <v>57.4918</v>
      </c>
      <c r="M78" s="82">
        <f t="shared" si="153"/>
        <v>53.9218</v>
      </c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 ht="15.75" customHeight="1">
      <c r="A79" s="79" t="s">
        <v>75</v>
      </c>
      <c r="B79" s="80">
        <f>B$120+B$139+'1.Distancias'!$B74*'2.Red'!$B$9+'2.Red'!$G$17</f>
        <v>45.966</v>
      </c>
      <c r="C79" s="80">
        <f>C$120+C$139+'1.Distancias'!$B74*'2.Red'!$B$10+'2.Red'!$H$17</f>
        <v>46.588</v>
      </c>
      <c r="D79" s="80">
        <f>D$120+D$139+'1.Distancias'!$B74*'2.Red'!$B$11+'2.Red'!$I$17</f>
        <v>48.454</v>
      </c>
      <c r="E79" s="81">
        <f>E$120+E$139+'1.Distancias'!$B74*'2.Red'!$B$13+'2.Red'!$I$17</f>
        <v>49.387</v>
      </c>
      <c r="F79" s="80">
        <f>F$120+F$139+'1.Distancias'!$B74*'2.Red'!$B$14+'2.Red'!$J$17</f>
        <v>48.709</v>
      </c>
      <c r="G79" s="80">
        <f>G$120+G$139+'1.Distancias'!$B74*'2.Red'!$B$17+'2.Red'!$J$17</f>
        <v>51.819</v>
      </c>
      <c r="H79" s="82">
        <f t="shared" ref="H79:K79" si="154">$K$5-B79</f>
        <v>53.7665</v>
      </c>
      <c r="I79" s="82">
        <f t="shared" si="154"/>
        <v>53.1445</v>
      </c>
      <c r="J79" s="82">
        <f t="shared" si="154"/>
        <v>51.2785</v>
      </c>
      <c r="K79" s="83">
        <f t="shared" si="154"/>
        <v>50.3455</v>
      </c>
      <c r="L79" s="82">
        <f t="shared" ref="L79:M79" si="155">$K$6-F79</f>
        <v>58.3658</v>
      </c>
      <c r="M79" s="82">
        <f t="shared" si="155"/>
        <v>55.2558</v>
      </c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ht="15.75" customHeight="1">
      <c r="A80" s="79" t="s">
        <v>76</v>
      </c>
      <c r="B80" s="80">
        <f>B$120+B$139+'1.Distancias'!$B75*'2.Red'!$B$9+'2.Red'!$G$17</f>
        <v>46.017</v>
      </c>
      <c r="C80" s="80">
        <f>C$120+C$139+'1.Distancias'!$B75*'2.Red'!$B$10+'2.Red'!$H$17</f>
        <v>46.656</v>
      </c>
      <c r="D80" s="80">
        <f>D$120+D$139+'1.Distancias'!$B75*'2.Red'!$B$11+'2.Red'!$I$17</f>
        <v>48.573</v>
      </c>
      <c r="E80" s="81">
        <f>E$120+E$139+'1.Distancias'!$B75*'2.Red'!$B$13+'2.Red'!$I$17</f>
        <v>49.5315</v>
      </c>
      <c r="F80" s="80">
        <f>F$120+F$139+'1.Distancias'!$B75*'2.Red'!$B$14+'2.Red'!$J$17</f>
        <v>48.8705</v>
      </c>
      <c r="G80" s="80">
        <f>G$120+G$139+'1.Distancias'!$B75*'2.Red'!$B$17+'2.Red'!$J$17</f>
        <v>52.0655</v>
      </c>
      <c r="H80" s="82">
        <f t="shared" ref="H80:K80" si="156">$K$5-B80</f>
        <v>53.7155</v>
      </c>
      <c r="I80" s="82">
        <f t="shared" si="156"/>
        <v>53.0765</v>
      </c>
      <c r="J80" s="82">
        <f t="shared" si="156"/>
        <v>51.1595</v>
      </c>
      <c r="K80" s="83">
        <f t="shared" si="156"/>
        <v>50.201</v>
      </c>
      <c r="L80" s="82">
        <f t="shared" ref="L80:M80" si="157">$K$6-F80</f>
        <v>58.2043</v>
      </c>
      <c r="M80" s="82">
        <f t="shared" si="157"/>
        <v>55.0093</v>
      </c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ht="15.75" customHeight="1">
      <c r="A81" s="48" t="s">
        <v>77</v>
      </c>
      <c r="B81" s="80">
        <f>B$120+B$140+'1.Distancias'!$B76*'2.Red'!$B$9+'2.Red'!$G$17</f>
        <v>45.9096</v>
      </c>
      <c r="C81" s="80">
        <f>C$120+C$140+'1.Distancias'!$B76*'2.Red'!$B$10+'2.Red'!$H$17</f>
        <v>46.5128</v>
      </c>
      <c r="D81" s="80">
        <f>D$120+D$140+'1.Distancias'!$B76*'2.Red'!$B$11+'2.Red'!$I$17</f>
        <v>48.3224</v>
      </c>
      <c r="E81" s="81">
        <f>E$120+E$140+'1.Distancias'!$B76*'2.Red'!$B$13+'2.Red'!$I$17</f>
        <v>49.2272</v>
      </c>
      <c r="F81" s="80">
        <f>F$120+F$140+'1.Distancias'!$B76*'2.Red'!$B$14+'2.Red'!$J$17</f>
        <v>48.5304</v>
      </c>
      <c r="G81" s="80">
        <f>G$120+G$140+'1.Distancias'!$B76*'2.Red'!$B$17+'2.Red'!$J$17</f>
        <v>51.5464</v>
      </c>
      <c r="H81" s="82">
        <f t="shared" ref="H81:K81" si="158">$K$5-B81</f>
        <v>53.8229</v>
      </c>
      <c r="I81" s="82">
        <f t="shared" si="158"/>
        <v>53.2197</v>
      </c>
      <c r="J81" s="82">
        <f t="shared" si="158"/>
        <v>51.4101</v>
      </c>
      <c r="K81" s="83">
        <f t="shared" si="158"/>
        <v>50.5053</v>
      </c>
      <c r="L81" s="82">
        <f t="shared" ref="L81:M81" si="159">$K$6-F81</f>
        <v>58.5444</v>
      </c>
      <c r="M81" s="82">
        <f t="shared" si="159"/>
        <v>55.5284</v>
      </c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ht="15.75" customHeight="1">
      <c r="A82" s="48" t="s">
        <v>78</v>
      </c>
      <c r="B82" s="80">
        <f>B$120+B$140+'1.Distancias'!$B77*'2.Red'!$B$9+'2.Red'!$G$17</f>
        <v>46.1316</v>
      </c>
      <c r="C82" s="80">
        <f>C$120+C$140+'1.Distancias'!$B77*'2.Red'!$B$10+'2.Red'!$H$17</f>
        <v>46.8088</v>
      </c>
      <c r="D82" s="80">
        <f>D$120+D$140+'1.Distancias'!$B77*'2.Red'!$B$11+'2.Red'!$I$17</f>
        <v>48.8404</v>
      </c>
      <c r="E82" s="81">
        <f>E$120+E$140+'1.Distancias'!$B77*'2.Red'!$B$13+'2.Red'!$I$17</f>
        <v>49.8562</v>
      </c>
      <c r="F82" s="80">
        <f>F$120+F$140+'1.Distancias'!$B77*'2.Red'!$B$14+'2.Red'!$J$17</f>
        <v>49.2334</v>
      </c>
      <c r="G82" s="80">
        <f>G$120+G$140+'1.Distancias'!$B77*'2.Red'!$B$17+'2.Red'!$J$17</f>
        <v>52.6194</v>
      </c>
      <c r="H82" s="82">
        <f t="shared" ref="H82:K82" si="160">$K$5-B82</f>
        <v>53.6009</v>
      </c>
      <c r="I82" s="82">
        <f t="shared" si="160"/>
        <v>52.9237</v>
      </c>
      <c r="J82" s="82">
        <f t="shared" si="160"/>
        <v>50.8921</v>
      </c>
      <c r="K82" s="83">
        <f t="shared" si="160"/>
        <v>49.8763</v>
      </c>
      <c r="L82" s="82">
        <f t="shared" ref="L82:M82" si="161">$K$6-F82</f>
        <v>57.8414</v>
      </c>
      <c r="M82" s="82">
        <f t="shared" si="161"/>
        <v>54.4554</v>
      </c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ht="15.75" customHeight="1">
      <c r="A83" s="48" t="s">
        <v>79</v>
      </c>
      <c r="B83" s="80">
        <f>B$120+B$140+'1.Distancias'!$B78*'2.Red'!$B$9+'2.Red'!$G$17</f>
        <v>46.0764</v>
      </c>
      <c r="C83" s="80">
        <f>C$120+C$140+'1.Distancias'!$B78*'2.Red'!$B$10+'2.Red'!$H$17</f>
        <v>46.7352</v>
      </c>
      <c r="D83" s="80">
        <f>D$120+D$140+'1.Distancias'!$B78*'2.Red'!$B$11+'2.Red'!$I$17</f>
        <v>48.7116</v>
      </c>
      <c r="E83" s="81">
        <f>E$120+E$140+'1.Distancias'!$B78*'2.Red'!$B$13+'2.Red'!$I$17</f>
        <v>49.6998</v>
      </c>
      <c r="F83" s="80">
        <f>F$120+F$140+'1.Distancias'!$B78*'2.Red'!$B$14+'2.Red'!$J$17</f>
        <v>49.0586</v>
      </c>
      <c r="G83" s="80">
        <f>G$120+G$140+'1.Distancias'!$B78*'2.Red'!$B$17+'2.Red'!$J$17</f>
        <v>52.3526</v>
      </c>
      <c r="H83" s="82">
        <f t="shared" ref="H83:K83" si="162">$K$5-B83</f>
        <v>53.6561</v>
      </c>
      <c r="I83" s="82">
        <f t="shared" si="162"/>
        <v>52.9973</v>
      </c>
      <c r="J83" s="82">
        <f t="shared" si="162"/>
        <v>51.0209</v>
      </c>
      <c r="K83" s="83">
        <f t="shared" si="162"/>
        <v>50.0327</v>
      </c>
      <c r="L83" s="82">
        <f t="shared" ref="L83:M83" si="163">$K$6-F83</f>
        <v>58.0162</v>
      </c>
      <c r="M83" s="82">
        <f t="shared" si="163"/>
        <v>54.7222</v>
      </c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ht="15.75" customHeight="1">
      <c r="A84" s="48" t="s">
        <v>80</v>
      </c>
      <c r="B84" s="80">
        <f>B$120+B$140+'1.Distancias'!$B79*'2.Red'!$B$9+'2.Red'!$G$17</f>
        <v>45.8004</v>
      </c>
      <c r="C84" s="80">
        <f>C$120+C$140+'1.Distancias'!$B79*'2.Red'!$B$10+'2.Red'!$H$17</f>
        <v>46.3672</v>
      </c>
      <c r="D84" s="80">
        <f>D$120+D$140+'1.Distancias'!$B79*'2.Red'!$B$11+'2.Red'!$I$17</f>
        <v>48.0676</v>
      </c>
      <c r="E84" s="80">
        <f>E$120+E$140+'1.Distancias'!$B79*'2.Red'!$B$13+'2.Red'!$I$17</f>
        <v>48.9178</v>
      </c>
      <c r="F84" s="80">
        <f>F$120+F$140+'1.Distancias'!$B79*'2.Red'!$B$14+'2.Red'!$J$17</f>
        <v>48.1846</v>
      </c>
      <c r="G84" s="80">
        <f>G$120+G$140+'1.Distancias'!$B79*'2.Red'!$B$17+'2.Red'!$J$17</f>
        <v>51.0186</v>
      </c>
      <c r="H84" s="82">
        <f t="shared" ref="H84:K84" si="164">$K$5-B84</f>
        <v>53.9321</v>
      </c>
      <c r="I84" s="82">
        <f t="shared" si="164"/>
        <v>53.3653</v>
      </c>
      <c r="J84" s="82">
        <f t="shared" si="164"/>
        <v>51.6649</v>
      </c>
      <c r="K84" s="83">
        <f t="shared" si="164"/>
        <v>50.8147</v>
      </c>
      <c r="L84" s="82">
        <f t="shared" ref="L84:M84" si="165">$K$6-F84</f>
        <v>58.8902</v>
      </c>
      <c r="M84" s="82">
        <f t="shared" si="165"/>
        <v>56.0562</v>
      </c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ht="15.75" customHeight="1">
      <c r="A85" s="48" t="s">
        <v>81</v>
      </c>
      <c r="B85" s="80">
        <f>B$120+B$140+'1.Distancias'!$B80*'2.Red'!$B$9+'2.Red'!$G$17</f>
        <v>45.8514</v>
      </c>
      <c r="C85" s="80">
        <f>C$120+C$140+'1.Distancias'!$B80*'2.Red'!$B$10+'2.Red'!$H$17</f>
        <v>46.4352</v>
      </c>
      <c r="D85" s="80">
        <f>D$120+D$140+'1.Distancias'!$B80*'2.Red'!$B$11+'2.Red'!$I$17</f>
        <v>48.1866</v>
      </c>
      <c r="E85" s="81">
        <f>E$120+E$140+'1.Distancias'!$B80*'2.Red'!$B$13+'2.Red'!$I$17</f>
        <v>49.0623</v>
      </c>
      <c r="F85" s="80">
        <f>F$120+F$140+'1.Distancias'!$B80*'2.Red'!$B$14+'2.Red'!$J$17</f>
        <v>48.3461</v>
      </c>
      <c r="G85" s="80">
        <f>G$120+G$140+'1.Distancias'!$B80*'2.Red'!$B$17+'2.Red'!$J$17</f>
        <v>51.2651</v>
      </c>
      <c r="H85" s="82">
        <f t="shared" ref="H85:K85" si="166">$K$5-B85</f>
        <v>53.8811</v>
      </c>
      <c r="I85" s="82">
        <f t="shared" si="166"/>
        <v>53.2973</v>
      </c>
      <c r="J85" s="82">
        <f t="shared" si="166"/>
        <v>51.5459</v>
      </c>
      <c r="K85" s="83">
        <f t="shared" si="166"/>
        <v>50.6702</v>
      </c>
      <c r="L85" s="82">
        <f t="shared" ref="L85:M85" si="167">$K$6-F85</f>
        <v>58.7287</v>
      </c>
      <c r="M85" s="82">
        <f t="shared" si="167"/>
        <v>55.8097</v>
      </c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ht="15.75" customHeight="1">
      <c r="A86" s="79" t="s">
        <v>82</v>
      </c>
      <c r="B86" s="80">
        <f>B$121+B$141+'1.Distancias'!$B81*'2.Red'!$B$9+'2.Red'!$G$17</f>
        <v>44.2366</v>
      </c>
      <c r="C86" s="80">
        <f>C$121+C$141+'1.Distancias'!$B81*'2.Red'!$B$10+'2.Red'!$H$17</f>
        <v>44.9488</v>
      </c>
      <c r="D86" s="80">
        <f>D$121+D$141+'1.Distancias'!$B81*'2.Red'!$B$11+'2.Red'!$I$17</f>
        <v>47.0854</v>
      </c>
      <c r="E86" s="81">
        <f>E$121+E$141+'1.Distancias'!$B81*'2.Red'!$B$13+'2.Red'!$I$17</f>
        <v>48.1537</v>
      </c>
      <c r="F86" s="80">
        <f>F$121+F$141+'1.Distancias'!$B81*'2.Red'!$B$14+'2.Red'!$J$17</f>
        <v>48.0659</v>
      </c>
      <c r="G86" s="80">
        <f>G$121+G$141+'1.Distancias'!$B81*'2.Red'!$B$17+'2.Red'!$J$17</f>
        <v>51.6269</v>
      </c>
      <c r="H86" s="82">
        <f t="shared" ref="H86:K86" si="168">$K$5-B86</f>
        <v>55.4959</v>
      </c>
      <c r="I86" s="82">
        <f t="shared" si="168"/>
        <v>54.7837</v>
      </c>
      <c r="J86" s="82">
        <f t="shared" si="168"/>
        <v>52.6471</v>
      </c>
      <c r="K86" s="83">
        <f t="shared" si="168"/>
        <v>51.5788</v>
      </c>
      <c r="L86" s="82">
        <f t="shared" ref="L86:M86" si="169">$K$6-F86</f>
        <v>59.0089</v>
      </c>
      <c r="M86" s="82">
        <f t="shared" si="169"/>
        <v>55.4479</v>
      </c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ht="15.75" customHeight="1">
      <c r="A87" s="79" t="s">
        <v>83</v>
      </c>
      <c r="B87" s="80">
        <f>B$121+B$141+'1.Distancias'!$B82*'2.Red'!$B$9+'2.Red'!$G$17</f>
        <v>44.5</v>
      </c>
      <c r="C87" s="80">
        <f>C$121+C$141+'1.Distancias'!$B82*'2.Red'!$B$10+'2.Red'!$H$17</f>
        <v>45.3</v>
      </c>
      <c r="D87" s="80">
        <f>D$121+D$141+'1.Distancias'!$B82*'2.Red'!$B$11+'2.Red'!$I$17</f>
        <v>47.7</v>
      </c>
      <c r="E87" s="81">
        <f>E$121+E$141+'1.Distancias'!$B82*'2.Red'!$B$13+'2.Red'!$I$17</f>
        <v>48.9</v>
      </c>
      <c r="F87" s="80">
        <f>F$121+F$141+'1.Distancias'!$B82*'2.Red'!$B$14+'2.Red'!$J$17</f>
        <v>48.9</v>
      </c>
      <c r="G87" s="80">
        <f>G$121+G$141+'1.Distancias'!$B82*'2.Red'!$B$17+'2.Red'!$J$17</f>
        <v>52.9</v>
      </c>
      <c r="H87" s="82">
        <f t="shared" ref="H87:K87" si="170">$K$5-B87</f>
        <v>55.2325</v>
      </c>
      <c r="I87" s="82">
        <f t="shared" si="170"/>
        <v>54.4325</v>
      </c>
      <c r="J87" s="82">
        <f t="shared" si="170"/>
        <v>52.0325</v>
      </c>
      <c r="K87" s="83">
        <f t="shared" si="170"/>
        <v>50.8325</v>
      </c>
      <c r="L87" s="82">
        <f t="shared" ref="L87:M87" si="171">$K$6-F87</f>
        <v>58.1748</v>
      </c>
      <c r="M87" s="82">
        <f t="shared" si="171"/>
        <v>54.1748</v>
      </c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ht="15.75" customHeight="1">
      <c r="A88" s="79" t="s">
        <v>84</v>
      </c>
      <c r="B88" s="80">
        <f>B$121+B$141+'1.Distancias'!$B83*'2.Red'!$B$9+'2.Red'!$G$17</f>
        <v>44.422</v>
      </c>
      <c r="C88" s="80">
        <f>C$121+C$141+'1.Distancias'!$B83*'2.Red'!$B$10+'2.Red'!$H$17</f>
        <v>45.196</v>
      </c>
      <c r="D88" s="80">
        <f>D$121+D$141+'1.Distancias'!$B83*'2.Red'!$B$11+'2.Red'!$I$17</f>
        <v>47.518</v>
      </c>
      <c r="E88" s="81">
        <f>E$121+E$141+'1.Distancias'!$B83*'2.Red'!$B$13+'2.Red'!$I$17</f>
        <v>48.679</v>
      </c>
      <c r="F88" s="80">
        <f>F$121+F$141+'1.Distancias'!$B83*'2.Red'!$B$14+'2.Red'!$J$17</f>
        <v>48.653</v>
      </c>
      <c r="G88" s="80">
        <f>G$121+G$141+'1.Distancias'!$B83*'2.Red'!$B$17+'2.Red'!$J$17</f>
        <v>52.523</v>
      </c>
      <c r="H88" s="82">
        <f t="shared" ref="H88:K88" si="172">$K$5-B88</f>
        <v>55.3105</v>
      </c>
      <c r="I88" s="82">
        <f t="shared" si="172"/>
        <v>54.5365</v>
      </c>
      <c r="J88" s="82">
        <f t="shared" si="172"/>
        <v>52.2145</v>
      </c>
      <c r="K88" s="83">
        <f t="shared" si="172"/>
        <v>51.0535</v>
      </c>
      <c r="L88" s="82">
        <f t="shared" ref="L88:M88" si="173">$K$6-F88</f>
        <v>58.4218</v>
      </c>
      <c r="M88" s="82">
        <f t="shared" si="173"/>
        <v>54.5518</v>
      </c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ht="15.75" customHeight="1">
      <c r="A89" s="109" t="s">
        <v>85</v>
      </c>
      <c r="B89" s="80">
        <f>B$121+B$141+'1.Distancias'!$B84*'2.Red'!$B$9+'2.Red'!$G$17</f>
        <v>44.1634</v>
      </c>
      <c r="C89" s="80">
        <f>C$121+C$141+'1.Distancias'!$B84*'2.Red'!$B$10+'2.Red'!$H$17</f>
        <v>44.8512</v>
      </c>
      <c r="D89" s="80">
        <f>D$121+D$141+'1.Distancias'!$B84*'2.Red'!$B$11+'2.Red'!$I$17</f>
        <v>46.9146</v>
      </c>
      <c r="E89" s="81">
        <f>E$121+E$141+'1.Distancias'!$B84*'2.Red'!$B$13+'2.Red'!$I$17</f>
        <v>47.9463</v>
      </c>
      <c r="F89" s="80">
        <f>F$121+F$141+'1.Distancias'!$B84*'2.Red'!$B$14+'2.Red'!$J$17</f>
        <v>47.8341</v>
      </c>
      <c r="G89" s="80">
        <f>G$121+G$141+'1.Distancias'!$B84*'2.Red'!$B$17+'2.Red'!$J$17</f>
        <v>51.2731</v>
      </c>
      <c r="H89" s="82">
        <f t="shared" ref="H89:K89" si="174">$K$5-B89</f>
        <v>55.5691</v>
      </c>
      <c r="I89" s="82">
        <f t="shared" si="174"/>
        <v>54.8813</v>
      </c>
      <c r="J89" s="82">
        <f t="shared" si="174"/>
        <v>52.8179</v>
      </c>
      <c r="K89" s="83">
        <f t="shared" si="174"/>
        <v>51.7862</v>
      </c>
      <c r="L89" s="82">
        <f t="shared" ref="L89:M89" si="175">$K$6-F89</f>
        <v>59.2407</v>
      </c>
      <c r="M89" s="82">
        <f t="shared" si="175"/>
        <v>55.8017</v>
      </c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ht="15.75" customHeight="1">
      <c r="A90" s="79" t="s">
        <v>86</v>
      </c>
      <c r="B90" s="80">
        <f>B$121+B$141+'1.Distancias'!$B85*'2.Red'!$B$9+'2.Red'!$G$17</f>
        <v>44.2222</v>
      </c>
      <c r="C90" s="80">
        <f>C$121+C$141+'1.Distancias'!$B85*'2.Red'!$B$10+'2.Red'!$H$17</f>
        <v>44.9296</v>
      </c>
      <c r="D90" s="80">
        <f>D$121+D$141+'1.Distancias'!$B85*'2.Red'!$B$11+'2.Red'!$I$17</f>
        <v>47.0518</v>
      </c>
      <c r="E90" s="81">
        <f>E$121+E$141+'1.Distancias'!$B85*'2.Red'!$B$13+'2.Red'!$I$17</f>
        <v>48.1129</v>
      </c>
      <c r="F90" s="80">
        <f>F$121+F$141+'1.Distancias'!$B85*'2.Red'!$B$14+'2.Red'!$J$17</f>
        <v>48.0203</v>
      </c>
      <c r="G90" s="80">
        <f>G$121+G$141+'1.Distancias'!$B85*'2.Red'!$B$17+'2.Red'!$J$17</f>
        <v>51.5573</v>
      </c>
      <c r="H90" s="82">
        <f t="shared" ref="H90:K90" si="176">$K$5-B90</f>
        <v>55.5103</v>
      </c>
      <c r="I90" s="82">
        <f t="shared" si="176"/>
        <v>54.8029</v>
      </c>
      <c r="J90" s="82">
        <f t="shared" si="176"/>
        <v>52.6807</v>
      </c>
      <c r="K90" s="83">
        <f t="shared" si="176"/>
        <v>51.6196</v>
      </c>
      <c r="L90" s="82">
        <f t="shared" ref="L90:M90" si="177">$K$6-F90</f>
        <v>59.0545</v>
      </c>
      <c r="M90" s="82">
        <f t="shared" si="177"/>
        <v>55.5175</v>
      </c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 ht="15.75" customHeight="1">
      <c r="A91" s="48" t="s">
        <v>87</v>
      </c>
      <c r="B91" s="80">
        <f>B$121+B$142+'1.Distancias'!$B86*'2.Red'!$B$9+'2.Red'!$G$17</f>
        <v>44.071</v>
      </c>
      <c r="C91" s="80">
        <f>C$121+C$142+'1.Distancias'!$B86*'2.Red'!$B$10+'2.Red'!$H$17</f>
        <v>44.728</v>
      </c>
      <c r="D91" s="80">
        <f>D$121+D$142+'1.Distancias'!$B86*'2.Red'!$B$11+'2.Red'!$I$17</f>
        <v>46.699</v>
      </c>
      <c r="E91" s="81">
        <f>E$121+E$142+'1.Distancias'!$B86*'2.Red'!$B$13+'2.Red'!$I$17</f>
        <v>47.6845</v>
      </c>
      <c r="F91" s="80">
        <f>F$121+F$142+'1.Distancias'!$B86*'2.Red'!$B$14+'2.Red'!$J$17</f>
        <v>47.5415</v>
      </c>
      <c r="G91" s="80">
        <f>G$121+G$142+'1.Distancias'!$B86*'2.Red'!$B$17+'2.Red'!$J$17</f>
        <v>50.8265</v>
      </c>
      <c r="H91" s="82">
        <f t="shared" ref="H91:K91" si="178">$K$5-B91</f>
        <v>55.6615</v>
      </c>
      <c r="I91" s="82">
        <f t="shared" si="178"/>
        <v>55.0045</v>
      </c>
      <c r="J91" s="82">
        <f t="shared" si="178"/>
        <v>53.0335</v>
      </c>
      <c r="K91" s="83">
        <f t="shared" si="178"/>
        <v>52.048</v>
      </c>
      <c r="L91" s="82">
        <f t="shared" ref="L91:M91" si="179">$K$6-F91</f>
        <v>59.5333</v>
      </c>
      <c r="M91" s="82">
        <f t="shared" si="179"/>
        <v>56.2483</v>
      </c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ht="15.75" customHeight="1">
      <c r="A92" s="48" t="s">
        <v>88</v>
      </c>
      <c r="B92" s="80">
        <f>B$121+B$142+'1.Distancias'!$B87*'2.Red'!$B$9+'2.Red'!$G$17</f>
        <v>44.3344</v>
      </c>
      <c r="C92" s="80">
        <f>C$121+C$142+'1.Distancias'!$B87*'2.Red'!$B$10+'2.Red'!$H$17</f>
        <v>45.0792</v>
      </c>
      <c r="D92" s="80">
        <f>D$121+D$142+'1.Distancias'!$B87*'2.Red'!$B$11+'2.Red'!$I$17</f>
        <v>47.3136</v>
      </c>
      <c r="E92" s="81">
        <f>E$121+E$142+'1.Distancias'!$B87*'2.Red'!$B$13+'2.Red'!$I$17</f>
        <v>48.4308</v>
      </c>
      <c r="F92" s="80">
        <f>F$121+F$142+'1.Distancias'!$B87*'2.Red'!$B$14+'2.Red'!$J$17</f>
        <v>48.3756</v>
      </c>
      <c r="G92" s="80">
        <f>G$121+G$142+'1.Distancias'!$B87*'2.Red'!$B$17+'2.Red'!$J$17</f>
        <v>52.0996</v>
      </c>
      <c r="H92" s="82">
        <f t="shared" ref="H92:K92" si="180">$K$5-B92</f>
        <v>55.3981</v>
      </c>
      <c r="I92" s="82">
        <f t="shared" si="180"/>
        <v>54.6533</v>
      </c>
      <c r="J92" s="82">
        <f t="shared" si="180"/>
        <v>52.4189</v>
      </c>
      <c r="K92" s="83">
        <f t="shared" si="180"/>
        <v>51.3017</v>
      </c>
      <c r="L92" s="82">
        <f t="shared" ref="L92:M92" si="181">$K$6-F92</f>
        <v>58.6992</v>
      </c>
      <c r="M92" s="82">
        <f t="shared" si="181"/>
        <v>54.9752</v>
      </c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 ht="15.75" customHeight="1">
      <c r="A93" s="28" t="s">
        <v>89</v>
      </c>
      <c r="B93" s="80">
        <f>B$121+B$142+'1.Distancias'!$B88*'2.Red'!$B$9+'2.Red'!$G$17</f>
        <v>44.2564</v>
      </c>
      <c r="C93" s="80">
        <f>C$121+C$142+'1.Distancias'!$B88*'2.Red'!$B$10+'2.Red'!$H$17</f>
        <v>44.9752</v>
      </c>
      <c r="D93" s="80">
        <f>D$121+D$142+'1.Distancias'!$B88*'2.Red'!$B$11+'2.Red'!$I$17</f>
        <v>47.1316</v>
      </c>
      <c r="E93" s="81">
        <f>E$121+E$142+'1.Distancias'!$B88*'2.Red'!$B$13+'2.Red'!$I$17</f>
        <v>48.2098</v>
      </c>
      <c r="F93" s="80">
        <f>F$121+F$142+'1.Distancias'!$B88*'2.Red'!$B$14+'2.Red'!$J$17</f>
        <v>48.1286</v>
      </c>
      <c r="G93" s="80">
        <f>G$121+G$142+'1.Distancias'!$B88*'2.Red'!$B$17+'2.Red'!$J$17</f>
        <v>51.7226</v>
      </c>
      <c r="H93" s="82">
        <f t="shared" ref="H93:K93" si="182">$K$5-B93</f>
        <v>55.4761</v>
      </c>
      <c r="I93" s="82">
        <f t="shared" si="182"/>
        <v>54.7573</v>
      </c>
      <c r="J93" s="82">
        <f t="shared" si="182"/>
        <v>52.6009</v>
      </c>
      <c r="K93" s="83">
        <f t="shared" si="182"/>
        <v>51.5227</v>
      </c>
      <c r="L93" s="82">
        <f t="shared" ref="L93:M93" si="183">$K$6-F93</f>
        <v>58.9462</v>
      </c>
      <c r="M93" s="82">
        <f t="shared" si="183"/>
        <v>55.3522</v>
      </c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 ht="15.75" customHeight="1">
      <c r="A94" s="48" t="s">
        <v>90</v>
      </c>
      <c r="B94" s="80">
        <f>B$121+B$142+'1.Distancias'!$B89*'2.Red'!$B$9+'2.Red'!$G$17</f>
        <v>43.9978</v>
      </c>
      <c r="C94" s="80">
        <f>C$121+C$142+'1.Distancias'!$B89*'2.Red'!$B$10+'2.Red'!$H$17</f>
        <v>44.6304</v>
      </c>
      <c r="D94" s="80">
        <f>D$121+D$142+'1.Distancias'!$B89*'2.Red'!$B$11+'2.Red'!$I$17</f>
        <v>46.5282</v>
      </c>
      <c r="E94" s="81">
        <f>E$121+E$142+'1.Distancias'!$B89*'2.Red'!$B$13+'2.Red'!$I$17</f>
        <v>47.4771</v>
      </c>
      <c r="F94" s="80">
        <f>F$121+F$142+'1.Distancias'!$B89*'2.Red'!$B$14+'2.Red'!$J$17</f>
        <v>47.3097</v>
      </c>
      <c r="G94" s="80">
        <f>G$121+G$142+'1.Distancias'!$B89*'2.Red'!$B$17+'2.Red'!$J$17</f>
        <v>50.4727</v>
      </c>
      <c r="H94" s="82">
        <f t="shared" ref="H94:K94" si="184">$K$5-B94</f>
        <v>55.7347</v>
      </c>
      <c r="I94" s="82">
        <f t="shared" si="184"/>
        <v>55.1021</v>
      </c>
      <c r="J94" s="82">
        <f t="shared" si="184"/>
        <v>53.2043</v>
      </c>
      <c r="K94" s="83">
        <f t="shared" si="184"/>
        <v>52.2554</v>
      </c>
      <c r="L94" s="82">
        <f t="shared" ref="L94:M94" si="185">$K$6-F94</f>
        <v>59.7651</v>
      </c>
      <c r="M94" s="82">
        <f t="shared" si="185"/>
        <v>56.6021</v>
      </c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 ht="15.75" customHeight="1">
      <c r="A95" s="28" t="s">
        <v>91</v>
      </c>
      <c r="B95" s="80">
        <f>B$121+B$142+'1.Distancias'!$B90*'2.Red'!$B$9+'2.Red'!$G$17</f>
        <v>44.0566</v>
      </c>
      <c r="C95" s="80">
        <f>C$121+C$142+'1.Distancias'!$B90*'2.Red'!$B$10+'2.Red'!$H$17</f>
        <v>44.7088</v>
      </c>
      <c r="D95" s="80">
        <f>D$121+D$142+'1.Distancias'!$B90*'2.Red'!$B$11+'2.Red'!$I$17</f>
        <v>46.6654</v>
      </c>
      <c r="E95" s="81">
        <f>E$121+E$142+'1.Distancias'!$B90*'2.Red'!$B$13+'2.Red'!$I$17</f>
        <v>47.6437</v>
      </c>
      <c r="F95" s="80">
        <f>F$121+F$142+'1.Distancias'!$B90*'2.Red'!$B$14+'2.Red'!$J$17</f>
        <v>47.4959</v>
      </c>
      <c r="G95" s="80">
        <f>G$121+G$142+'1.Distancias'!$B90*'2.Red'!$B$17+'2.Red'!$J$17</f>
        <v>50.7569</v>
      </c>
      <c r="H95" s="82">
        <f t="shared" ref="H95:K95" si="186">$K$5-B95</f>
        <v>55.6759</v>
      </c>
      <c r="I95" s="82">
        <f t="shared" si="186"/>
        <v>55.0237</v>
      </c>
      <c r="J95" s="82">
        <f t="shared" si="186"/>
        <v>53.0671</v>
      </c>
      <c r="K95" s="83">
        <f t="shared" si="186"/>
        <v>52.0888</v>
      </c>
      <c r="L95" s="82">
        <f t="shared" ref="L95:M95" si="187">$K$6-F95</f>
        <v>59.5789</v>
      </c>
      <c r="M95" s="82">
        <f t="shared" si="187"/>
        <v>56.3179</v>
      </c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 ht="15.75" customHeight="1">
      <c r="A96" s="29"/>
      <c r="B96" s="80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 ht="15.75" customHeight="1">
      <c r="A97" s="110" t="s">
        <v>203</v>
      </c>
      <c r="B97" s="111">
        <f t="shared" ref="B97:M97" si="188">MAX(B11:B95)</f>
        <v>46.4372</v>
      </c>
      <c r="C97" s="111">
        <f t="shared" si="188"/>
        <v>47.0496</v>
      </c>
      <c r="D97" s="112">
        <f t="shared" si="188"/>
        <v>49.2268</v>
      </c>
      <c r="E97" s="112">
        <f t="shared" si="188"/>
        <v>50.3254</v>
      </c>
      <c r="F97" s="112">
        <f t="shared" si="188"/>
        <v>49.7578</v>
      </c>
      <c r="G97" s="112">
        <f t="shared" si="188"/>
        <v>53.4198</v>
      </c>
      <c r="H97" s="111">
        <f t="shared" si="188"/>
        <v>58.0673</v>
      </c>
      <c r="I97" s="111">
        <f t="shared" si="188"/>
        <v>57.8789</v>
      </c>
      <c r="J97" s="112">
        <f t="shared" si="188"/>
        <v>57.3137</v>
      </c>
      <c r="K97" s="112">
        <f t="shared" si="188"/>
        <v>57.0311</v>
      </c>
      <c r="L97" s="112">
        <f t="shared" si="188"/>
        <v>68.985</v>
      </c>
      <c r="M97" s="113">
        <f t="shared" si="188"/>
        <v>68.043</v>
      </c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 ht="16.5" customHeight="1">
      <c r="A98" s="110" t="s">
        <v>204</v>
      </c>
      <c r="B98" s="114">
        <f t="shared" ref="B98:M98" si="189">MIN(B11:B95)</f>
        <v>41.6652</v>
      </c>
      <c r="C98" s="114">
        <f t="shared" si="189"/>
        <v>41.8536</v>
      </c>
      <c r="D98" s="115">
        <f t="shared" si="189"/>
        <v>42.4188</v>
      </c>
      <c r="E98" s="115">
        <f t="shared" si="189"/>
        <v>42.7014</v>
      </c>
      <c r="F98" s="114">
        <f t="shared" si="189"/>
        <v>38.0898</v>
      </c>
      <c r="G98" s="114">
        <f t="shared" si="189"/>
        <v>39.0318</v>
      </c>
      <c r="H98" s="114">
        <f t="shared" si="189"/>
        <v>53.2953</v>
      </c>
      <c r="I98" s="114">
        <f t="shared" si="189"/>
        <v>52.6829</v>
      </c>
      <c r="J98" s="115">
        <f t="shared" si="189"/>
        <v>50.5057</v>
      </c>
      <c r="K98" s="115">
        <f t="shared" si="189"/>
        <v>49.4071</v>
      </c>
      <c r="L98" s="115">
        <f t="shared" si="189"/>
        <v>57.317</v>
      </c>
      <c r="M98" s="116">
        <f t="shared" si="189"/>
        <v>53.655</v>
      </c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 ht="15.75" customHeight="1">
      <c r="A101" s="29"/>
      <c r="B101" s="29"/>
      <c r="C101" s="29"/>
      <c r="D101" s="29"/>
      <c r="E101" s="29"/>
      <c r="F101" s="117" t="s">
        <v>205</v>
      </c>
      <c r="G101" s="118"/>
      <c r="H101" s="119">
        <v>70.0</v>
      </c>
      <c r="I101" s="119">
        <v>70.0</v>
      </c>
      <c r="J101" s="120">
        <v>70.0</v>
      </c>
      <c r="K101" s="121"/>
      <c r="L101" s="120">
        <v>77.0</v>
      </c>
      <c r="M101" s="121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 ht="16.5" customHeight="1">
      <c r="A102" s="29"/>
      <c r="B102" s="29"/>
      <c r="C102" s="29"/>
      <c r="D102" s="29"/>
      <c r="E102" s="29"/>
      <c r="F102" s="117" t="s">
        <v>206</v>
      </c>
      <c r="G102" s="118"/>
      <c r="H102" s="122">
        <v>40.0</v>
      </c>
      <c r="I102" s="122">
        <v>30.0</v>
      </c>
      <c r="J102" s="123">
        <v>47.0</v>
      </c>
      <c r="K102" s="124"/>
      <c r="L102" s="125">
        <v>47.0</v>
      </c>
      <c r="M102" s="126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 ht="21.75" customHeight="1">
      <c r="A103" s="29"/>
      <c r="B103" s="29"/>
      <c r="C103" s="29"/>
      <c r="D103" s="29"/>
      <c r="E103" s="29"/>
      <c r="F103" s="127" t="s">
        <v>207</v>
      </c>
      <c r="G103" s="118"/>
      <c r="H103" s="128" t="str">
        <f t="shared" ref="H103:J103" si="190">IF(AND(H97&lt;=H101,H98&gt;=H102),"SI","NO")</f>
        <v>SI</v>
      </c>
      <c r="I103" s="128" t="str">
        <f t="shared" si="190"/>
        <v>SI</v>
      </c>
      <c r="J103" s="129" t="str">
        <f t="shared" si="190"/>
        <v>SI</v>
      </c>
      <c r="K103" s="130"/>
      <c r="L103" s="131" t="str">
        <f>IF(AND(L97&lt;=L101,M98&gt;=L102),"SI","NO")</f>
        <v>SI</v>
      </c>
      <c r="M103" s="126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 ht="30.0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 ht="98.25" customHeight="1">
      <c r="A110" s="27"/>
      <c r="B110" s="58" t="s">
        <v>208</v>
      </c>
      <c r="C110" s="53"/>
      <c r="D110" s="53"/>
      <c r="E110" s="53"/>
      <c r="F110" s="53"/>
      <c r="G110" s="130"/>
      <c r="H110" s="48" t="s">
        <v>209</v>
      </c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 ht="15.75" customHeight="1">
      <c r="A111" s="27"/>
      <c r="B111" s="66" t="s">
        <v>133</v>
      </c>
      <c r="C111" s="62" t="s">
        <v>134</v>
      </c>
      <c r="D111" s="63" t="s">
        <v>135</v>
      </c>
      <c r="E111" s="26"/>
      <c r="F111" s="63" t="s">
        <v>136</v>
      </c>
      <c r="G111" s="64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 ht="16.5" customHeight="1">
      <c r="A112" s="27"/>
      <c r="B112" s="73" t="s">
        <v>147</v>
      </c>
      <c r="C112" s="73" t="s">
        <v>148</v>
      </c>
      <c r="D112" s="74" t="s">
        <v>149</v>
      </c>
      <c r="E112" s="75" t="s">
        <v>150</v>
      </c>
      <c r="F112" s="74" t="s">
        <v>151</v>
      </c>
      <c r="G112" s="76" t="s">
        <v>152</v>
      </c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 ht="15.75" customHeight="1">
      <c r="A113" s="75" t="s">
        <v>117</v>
      </c>
      <c r="B113" s="132">
        <f>'2.Red'!$F$8+'2.Red'!$D$17+'1.Distancias'!$E$6*'2.Red'!$B$9</f>
        <v>5.68</v>
      </c>
      <c r="C113" s="132">
        <f>'2.Red'!$F$8+'2.Red'!$D$17+'1.Distancias'!$E$6*'2.Red'!$B$10</f>
        <v>5.74</v>
      </c>
      <c r="D113" s="133">
        <f>'2.Red'!$F$8+'2.Red'!$D$17+'1.Distancias'!$E$6*'2.Red'!$B$11</f>
        <v>5.92</v>
      </c>
      <c r="E113" s="133">
        <f>'2.Red'!$F$8+'2.Red'!$D$17+'1.Distancias'!$E$6*'2.Red'!$B$13</f>
        <v>6.01</v>
      </c>
      <c r="F113" s="133">
        <f>'2.Red'!$E$17+'1.Distancias'!$E$6*'2.Red'!$B$14</f>
        <v>2.37</v>
      </c>
      <c r="G113" s="133">
        <f>'2.Red'!$E$17+'1.Distancias'!$E$6*'2.Red'!$B$17</f>
        <v>2.67</v>
      </c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 ht="15.75" customHeight="1">
      <c r="A114" s="75" t="s">
        <v>119</v>
      </c>
      <c r="B114" s="134">
        <f>B113+'2.Red'!$E22+'1.Distancias'!$E$6*'2.Red'!$B$9</f>
        <v>7.36</v>
      </c>
      <c r="C114" s="134">
        <f>C113+'2.Red'!$E22+'1.Distancias'!$E$6*'2.Red'!$B$10</f>
        <v>7.48</v>
      </c>
      <c r="D114" s="134">
        <f>D113+'2.Red'!$E22+'1.Distancias'!$E$6*'2.Red'!$B$11</f>
        <v>7.84</v>
      </c>
      <c r="E114" s="134">
        <f>E113+'2.Red'!$E22+'1.Distancias'!$E$6*'2.Red'!$B$13</f>
        <v>8.02</v>
      </c>
      <c r="F114" s="134">
        <f>F113+'2.Red'!$G22+'1.Distancias'!$E$6*'2.Red'!$B$14</f>
        <v>4.94</v>
      </c>
      <c r="G114" s="134">
        <f>G113+'2.Red'!$G22+'1.Distancias'!$E$6*'2.Red'!$B$17</f>
        <v>5.54</v>
      </c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 ht="15.75" customHeight="1">
      <c r="A115" s="75" t="s">
        <v>120</v>
      </c>
      <c r="B115" s="134">
        <f>B114+'2.Red'!$E23+'1.Distancias'!$E$6*'2.Red'!$B$9</f>
        <v>9.04</v>
      </c>
      <c r="C115" s="134">
        <f>C114+'2.Red'!$E23+'1.Distancias'!$E$6*'2.Red'!$B$10</f>
        <v>9.22</v>
      </c>
      <c r="D115" s="134">
        <f>D114+'2.Red'!$E23+'1.Distancias'!$E$6*'2.Red'!$B$11</f>
        <v>9.76</v>
      </c>
      <c r="E115" s="134">
        <f>E114+'2.Red'!$E23+'1.Distancias'!$E$6*'2.Red'!$B$13</f>
        <v>10.03</v>
      </c>
      <c r="F115" s="134">
        <f>F114+'2.Red'!$G23+'1.Distancias'!$E$6*'2.Red'!$B$14</f>
        <v>7.51</v>
      </c>
      <c r="G115" s="134">
        <f>G114+'2.Red'!$G23+'1.Distancias'!$E$6*'2.Red'!$B$17</f>
        <v>8.41</v>
      </c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 ht="15.75" customHeight="1">
      <c r="A116" s="75" t="s">
        <v>121</v>
      </c>
      <c r="B116" s="134">
        <f>B115+'2.Red'!$E24+'1.Distancias'!$E$6*'2.Red'!$B$9</f>
        <v>10.72</v>
      </c>
      <c r="C116" s="134">
        <f>C115+'2.Red'!$E24+'1.Distancias'!$E$6*'2.Red'!$B$10</f>
        <v>10.96</v>
      </c>
      <c r="D116" s="134">
        <f>D115+'2.Red'!$E24+'1.Distancias'!$E$6*'2.Red'!$B$11</f>
        <v>11.68</v>
      </c>
      <c r="E116" s="134">
        <f>E115+'2.Red'!$E24+'1.Distancias'!$E$6*'2.Red'!$B$13</f>
        <v>12.04</v>
      </c>
      <c r="F116" s="134">
        <f>F115+'2.Red'!$G24+'1.Distancias'!$E$6*'2.Red'!$B$14</f>
        <v>10.08</v>
      </c>
      <c r="G116" s="134">
        <f>G115+'2.Red'!$G24+'1.Distancias'!$E$6*'2.Red'!$B$17</f>
        <v>11.28</v>
      </c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 ht="15.75" customHeight="1">
      <c r="A117" s="75" t="s">
        <v>123</v>
      </c>
      <c r="B117" s="134">
        <f>B116+'2.Red'!$E25+'1.Distancias'!$E$6*'2.Red'!$B$9</f>
        <v>12.4</v>
      </c>
      <c r="C117" s="134">
        <f>C116+'2.Red'!$E25+'1.Distancias'!$E$6*'2.Red'!$B$10</f>
        <v>12.7</v>
      </c>
      <c r="D117" s="134">
        <f>D116+'2.Red'!$E25+'1.Distancias'!$E$6*'2.Red'!$B$11</f>
        <v>13.6</v>
      </c>
      <c r="E117" s="134">
        <f>E116+'2.Red'!$E25+'1.Distancias'!$E$6*'2.Red'!$B$13</f>
        <v>14.05</v>
      </c>
      <c r="F117" s="134">
        <f>F116+'2.Red'!$G25+'1.Distancias'!$E$6*'2.Red'!$B$14</f>
        <v>12.65</v>
      </c>
      <c r="G117" s="134">
        <f>G116+'2.Red'!$G25+'1.Distancias'!$E$6*'2.Red'!$B$17</f>
        <v>14.15</v>
      </c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 ht="15.75" customHeight="1">
      <c r="A118" s="27" t="s">
        <v>124</v>
      </c>
      <c r="B118" s="134">
        <f>B117+'2.Red'!$E26+'1.Distancias'!$E$6*'2.Red'!$B$9</f>
        <v>14.08</v>
      </c>
      <c r="C118" s="134">
        <f>C117+'2.Red'!$E26+'1.Distancias'!$E$6*'2.Red'!$B$10</f>
        <v>14.44</v>
      </c>
      <c r="D118" s="134">
        <f>D117+'2.Red'!$E26+'1.Distancias'!$E$6*'2.Red'!$B$11</f>
        <v>15.52</v>
      </c>
      <c r="E118" s="134">
        <f>E117+'2.Red'!$E26+'1.Distancias'!$E$6*'2.Red'!$B$13</f>
        <v>16.06</v>
      </c>
      <c r="F118" s="134">
        <f>F117+'2.Red'!$G26+'1.Distancias'!$E$6*'2.Red'!$B$14</f>
        <v>15.22</v>
      </c>
      <c r="G118" s="134">
        <f>G117+'2.Red'!$G26+'1.Distancias'!$E$6*'2.Red'!$B$17</f>
        <v>17.02</v>
      </c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 ht="15.75" customHeight="1">
      <c r="A119" s="27" t="s">
        <v>125</v>
      </c>
      <c r="B119" s="134">
        <f>B118+'2.Red'!$E27+'1.Distancias'!$E$6*'2.Red'!$B$9</f>
        <v>15.76</v>
      </c>
      <c r="C119" s="134">
        <f>C118+'2.Red'!$E27+'1.Distancias'!$E$6*'2.Red'!$B$10</f>
        <v>16.18</v>
      </c>
      <c r="D119" s="134">
        <f>D118+'2.Red'!$E27+'1.Distancias'!$E$6*'2.Red'!$B$11</f>
        <v>17.44</v>
      </c>
      <c r="E119" s="134">
        <f>E118+'2.Red'!$E27+'1.Distancias'!$E$6*'2.Red'!$B$13</f>
        <v>18.07</v>
      </c>
      <c r="F119" s="134">
        <f>F118+'2.Red'!$G27+'1.Distancias'!$E$6*'2.Red'!$B$14</f>
        <v>17.79</v>
      </c>
      <c r="G119" s="134">
        <f>G118+'2.Red'!$G27+'1.Distancias'!$E$6*'2.Red'!$B$17</f>
        <v>19.89</v>
      </c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 ht="15.75" customHeight="1">
      <c r="A120" s="27" t="s">
        <v>127</v>
      </c>
      <c r="B120" s="134">
        <f>B119+'2.Red'!$E28+'1.Distancias'!$E$6*'2.Red'!$B$9</f>
        <v>17.94</v>
      </c>
      <c r="C120" s="134">
        <f>C119+'2.Red'!$E28+'1.Distancias'!$E$6*'2.Red'!$B$10</f>
        <v>18.42</v>
      </c>
      <c r="D120" s="134">
        <f>D119+'2.Red'!$E28+'1.Distancias'!$E$6*'2.Red'!$B$11</f>
        <v>19.86</v>
      </c>
      <c r="E120" s="134">
        <f>E119+'2.Red'!$E28+'1.Distancias'!$E$6*'2.Red'!$B$13</f>
        <v>20.58</v>
      </c>
      <c r="F120" s="134">
        <f>F119+'2.Red'!$G28+'1.Distancias'!$E$6*'2.Red'!$B$14</f>
        <v>20.86</v>
      </c>
      <c r="G120" s="134">
        <f>G119+'2.Red'!$G28+'1.Distancias'!$E$6*'2.Red'!$B$17</f>
        <v>23.26</v>
      </c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 ht="15.75" customHeight="1">
      <c r="A121" s="27" t="s">
        <v>128</v>
      </c>
      <c r="B121" s="134">
        <f>B120+'2.Red'!$E29+'1.Distancias'!$E$6*'2.Red'!$B$9</f>
        <v>20.12</v>
      </c>
      <c r="C121" s="134">
        <f>C120+'2.Red'!$E29+'1.Distancias'!$E$6*'2.Red'!$B$10</f>
        <v>20.66</v>
      </c>
      <c r="D121" s="134">
        <f>D120+'2.Red'!$E29+'1.Distancias'!$E$6*'2.Red'!$B$11</f>
        <v>22.28</v>
      </c>
      <c r="E121" s="134">
        <f>E120+'2.Red'!$E29+'1.Distancias'!$E$6*'2.Red'!$B$13</f>
        <v>23.09</v>
      </c>
      <c r="F121" s="134">
        <f>F120+'2.Red'!$G29+'1.Distancias'!$E$6*'2.Red'!$B$14</f>
        <v>23.93</v>
      </c>
      <c r="G121" s="134">
        <f>G120+'2.Red'!$G29+'1.Distancias'!$E$6*'2.Red'!$B$17</f>
        <v>26.63</v>
      </c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 ht="91.5" customHeight="1">
      <c r="A123" s="27"/>
      <c r="B123" s="58" t="s">
        <v>210</v>
      </c>
      <c r="C123" s="53"/>
      <c r="D123" s="53"/>
      <c r="E123" s="53"/>
      <c r="F123" s="53"/>
      <c r="G123" s="130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</row>
    <row r="124" ht="15.75" customHeight="1">
      <c r="A124" s="27"/>
      <c r="B124" s="66" t="s">
        <v>133</v>
      </c>
      <c r="C124" s="62" t="s">
        <v>134</v>
      </c>
      <c r="D124" s="63" t="s">
        <v>135</v>
      </c>
      <c r="E124" s="26"/>
      <c r="F124" s="63" t="s">
        <v>136</v>
      </c>
      <c r="G124" s="64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 ht="16.5" customHeight="1">
      <c r="A125" s="27"/>
      <c r="B125" s="73" t="s">
        <v>147</v>
      </c>
      <c r="C125" s="73" t="s">
        <v>148</v>
      </c>
      <c r="D125" s="74" t="s">
        <v>149</v>
      </c>
      <c r="E125" s="75" t="s">
        <v>150</v>
      </c>
      <c r="F125" s="74" t="s">
        <v>151</v>
      </c>
      <c r="G125" s="76" t="s">
        <v>152</v>
      </c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 ht="15.75" customHeight="1">
      <c r="A126" s="75" t="s">
        <v>117</v>
      </c>
      <c r="B126" s="134">
        <f>'2.Red'!$D22+'1.Distancias'!$C6*'2.Red'!$B$9+'2.Red'!$J$8</f>
        <v>35.123</v>
      </c>
      <c r="C126" s="134">
        <f>'2.Red'!$D22+'1.Distancias'!$C6*'2.Red'!$B$10+'2.Red'!$J$8</f>
        <v>35.164</v>
      </c>
      <c r="D126" s="134">
        <f>'2.Red'!$D22+'1.Distancias'!$C6*'2.Red'!$B$11+'2.Red'!$J$8</f>
        <v>35.287</v>
      </c>
      <c r="E126" s="134">
        <f>'2.Red'!$D22+'1.Distancias'!$C6*'2.Red'!$B$13+'2.Red'!$J$8</f>
        <v>35.3485</v>
      </c>
      <c r="F126" s="134">
        <f>'2.Red'!$F22+'1.Distancias'!$C6*'2.Red'!$B$14+'2.Red'!$K$8</f>
        <v>33.3895</v>
      </c>
      <c r="G126" s="134">
        <f>'2.Red'!$F22+'1.Distancias'!$C6*'2.Red'!$B$17+'2.Red'!$K$8</f>
        <v>33.5945</v>
      </c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 ht="15.75" customHeight="1">
      <c r="A127" s="75" t="s">
        <v>211</v>
      </c>
      <c r="B127" s="134">
        <f>'2.Red'!$D23+'1.Distancias'!$C11*'2.Red'!$B$9+'2.Red'!$J$8</f>
        <v>35.375</v>
      </c>
      <c r="C127" s="134">
        <f>'2.Red'!$D23+'1.Distancias'!$C11*'2.Red'!$B$10+'2.Red'!$J$8</f>
        <v>35.5</v>
      </c>
      <c r="D127" s="134">
        <f>'2.Red'!$D23+'1.Distancias'!$C11*'2.Red'!$B$11+'2.Red'!$J$8</f>
        <v>35.875</v>
      </c>
      <c r="E127" s="134">
        <f>'2.Red'!$D23+'1.Distancias'!$C11*'2.Red'!$B$13+'2.Red'!$J$8</f>
        <v>36.0625</v>
      </c>
      <c r="F127" s="134">
        <f>'2.Red'!$F23+'1.Distancias'!$C11*'2.Red'!$B$14+'2.Red'!$K$8</f>
        <v>34.1875</v>
      </c>
      <c r="G127" s="134">
        <f>'2.Red'!$F23+'1.Distancias'!$C11*'2.Red'!$B$17+'2.Red'!$K$8</f>
        <v>34.8125</v>
      </c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 ht="15.75" customHeight="1">
      <c r="A128" s="75" t="s">
        <v>212</v>
      </c>
      <c r="B128" s="134">
        <f>'2.Red'!$D23+'1.Distancias'!$C16*'2.Red'!$B$9+'2.Red'!$J$8</f>
        <v>35.2094</v>
      </c>
      <c r="C128" s="134">
        <f>'2.Red'!$D23+'1.Distancias'!$C16*'2.Red'!$B$10+'2.Red'!$J$8</f>
        <v>35.2792</v>
      </c>
      <c r="D128" s="134">
        <f>'2.Red'!$D23+'1.Distancias'!$C16*'2.Red'!$B$11+'2.Red'!$J$8</f>
        <v>35.4886</v>
      </c>
      <c r="E128" s="134">
        <f>'2.Red'!$D23+'1.Distancias'!$C16*'2.Red'!$B$13+'2.Red'!$J$8</f>
        <v>35.5933</v>
      </c>
      <c r="F128" s="134">
        <f>'2.Red'!$F23+'1.Distancias'!$C16*'2.Red'!$B$14+'2.Red'!$K$8</f>
        <v>33.6631</v>
      </c>
      <c r="G128" s="134">
        <f>'2.Red'!$F23+'1.Distancias'!$C16*'2.Red'!$B$17+'2.Red'!$K$8</f>
        <v>34.0121</v>
      </c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 ht="15.75" customHeight="1">
      <c r="A129" s="75" t="s">
        <v>213</v>
      </c>
      <c r="B129" s="134">
        <f>'2.Red'!$D24+'1.Distancias'!$C21*'2.Red'!$B$9+'2.Red'!$J$8</f>
        <v>35.375</v>
      </c>
      <c r="C129" s="134">
        <f>'2.Red'!$D24+'1.Distancias'!$C21*'2.Red'!$B$10+'2.Red'!$J$8</f>
        <v>35.5</v>
      </c>
      <c r="D129" s="134">
        <f>'2.Red'!$D24+'1.Distancias'!$C21*'2.Red'!$B$11+'2.Red'!$J$8</f>
        <v>35.875</v>
      </c>
      <c r="E129" s="134">
        <f>'2.Red'!$D24+'1.Distancias'!$C21*'2.Red'!$B$13+'2.Red'!$J$8</f>
        <v>36.0625</v>
      </c>
      <c r="F129" s="134">
        <f>'2.Red'!$F24+'1.Distancias'!$C21*'2.Red'!$B$14+'2.Red'!$K$8</f>
        <v>34.1875</v>
      </c>
      <c r="G129" s="134">
        <f>'2.Red'!$F24+'1.Distancias'!$C21*'2.Red'!$B$17+'2.Red'!$K$8</f>
        <v>34.8125</v>
      </c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</row>
    <row r="130" ht="15.75" customHeight="1">
      <c r="A130" s="75" t="s">
        <v>214</v>
      </c>
      <c r="B130" s="134">
        <f>'2.Red'!$D24+'1.Distancias'!$C26*'2.Red'!$B$9+'2.Red'!$J$8</f>
        <v>35.2094</v>
      </c>
      <c r="C130" s="134">
        <f>'2.Red'!$D24+'1.Distancias'!$C26*'2.Red'!$B$10+'2.Red'!$J$8</f>
        <v>35.2792</v>
      </c>
      <c r="D130" s="134">
        <f>'2.Red'!$D24+'1.Distancias'!$C26*'2.Red'!$B$11+'2.Red'!$J$8</f>
        <v>35.4886</v>
      </c>
      <c r="E130" s="134">
        <f>'2.Red'!$D24+'1.Distancias'!$C26*'2.Red'!$B$13+'2.Red'!$J$8</f>
        <v>35.5933</v>
      </c>
      <c r="F130" s="134">
        <f>'2.Red'!$F24+'1.Distancias'!$C26*'2.Red'!$B$14+'2.Red'!$K$8</f>
        <v>33.6631</v>
      </c>
      <c r="G130" s="134">
        <f>'2.Red'!$F24+'1.Distancias'!$C26*'2.Red'!$B$17+'2.Red'!$K$8</f>
        <v>34.0121</v>
      </c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 ht="15.75" customHeight="1">
      <c r="A131" s="75" t="s">
        <v>215</v>
      </c>
      <c r="B131" s="134">
        <f>'2.Red'!$D25+'1.Distancias'!$C31*'2.Red'!$B$9+'2.Red'!$J$8</f>
        <v>31.375</v>
      </c>
      <c r="C131" s="134">
        <f>'2.Red'!$D25+'1.Distancias'!$C31*'2.Red'!$B$10+'2.Red'!$J$8</f>
        <v>31.5</v>
      </c>
      <c r="D131" s="134">
        <f>'2.Red'!$D25+'1.Distancias'!$C31*'2.Red'!$B$11+'2.Red'!$J$8</f>
        <v>31.875</v>
      </c>
      <c r="E131" s="134">
        <f>'2.Red'!$D25+'1.Distancias'!$C31*'2.Red'!$B$13+'2.Red'!$J$8</f>
        <v>32.0625</v>
      </c>
      <c r="F131" s="134">
        <f>'2.Red'!$F25+'1.Distancias'!$C31*'2.Red'!$B$14+'2.Red'!$K$8</f>
        <v>30.1875</v>
      </c>
      <c r="G131" s="134">
        <f>'2.Red'!$F25+'1.Distancias'!$C31*'2.Red'!$B$17+'2.Red'!$K$8</f>
        <v>30.8125</v>
      </c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 ht="15.75" customHeight="1">
      <c r="A132" s="75" t="s">
        <v>216</v>
      </c>
      <c r="B132" s="134">
        <f>'2.Red'!$D25+'1.Distancias'!$C36*'2.Red'!$B$9+'2.Red'!$J$8</f>
        <v>31.2094</v>
      </c>
      <c r="C132" s="134">
        <f>'2.Red'!$D25+'1.Distancias'!$C36*'2.Red'!$B$10+'2.Red'!$J$8</f>
        <v>31.2792</v>
      </c>
      <c r="D132" s="134">
        <f>'2.Red'!$D25+'1.Distancias'!$C36*'2.Red'!$B$11+'2.Red'!$J$8</f>
        <v>31.4886</v>
      </c>
      <c r="E132" s="134">
        <f>'2.Red'!$D25+'1.Distancias'!$C36*'2.Red'!$B$13+'2.Red'!$J$8</f>
        <v>31.5933</v>
      </c>
      <c r="F132" s="134">
        <f>'2.Red'!$F25+'1.Distancias'!$C36*'2.Red'!$B$14+'2.Red'!$K$8</f>
        <v>29.6631</v>
      </c>
      <c r="G132" s="134">
        <f>'2.Red'!$F25+'1.Distancias'!$C36*'2.Red'!$B$17+'2.Red'!$K$8</f>
        <v>30.0121</v>
      </c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 ht="15.75" customHeight="1">
      <c r="A133" s="75" t="s">
        <v>217</v>
      </c>
      <c r="B133" s="134">
        <f>'2.Red'!$D26+'1.Distancias'!$C41*'2.Red'!$B$9+'2.Red'!$J$8</f>
        <v>31.375</v>
      </c>
      <c r="C133" s="134">
        <f>'2.Red'!$D26+'1.Distancias'!$C41*'2.Red'!$B$10+'2.Red'!$J$8</f>
        <v>31.5</v>
      </c>
      <c r="D133" s="134">
        <f>'2.Red'!$D26+'1.Distancias'!$C41*'2.Red'!$B$11+'2.Red'!$J$8</f>
        <v>31.875</v>
      </c>
      <c r="E133" s="134">
        <f>'2.Red'!$D26+'1.Distancias'!$C41*'2.Red'!$B$13+'2.Red'!$J$8</f>
        <v>32.0625</v>
      </c>
      <c r="F133" s="134">
        <f>'2.Red'!$F26+'1.Distancias'!$C41*'2.Red'!$B$14+'2.Red'!$K$8</f>
        <v>30.1875</v>
      </c>
      <c r="G133" s="134">
        <f>'2.Red'!$F26+'1.Distancias'!$C41*'2.Red'!$B$17+'2.Red'!$K$8</f>
        <v>30.8125</v>
      </c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 ht="15.75" customHeight="1">
      <c r="A134" s="75" t="s">
        <v>218</v>
      </c>
      <c r="B134" s="134">
        <f>'2.Red'!$D26+'1.Distancias'!$C46*'2.Red'!$B$9+'2.Red'!$J$8</f>
        <v>31.2094</v>
      </c>
      <c r="C134" s="134">
        <f>'2.Red'!$D26+'1.Distancias'!$C46*'2.Red'!$B$10+'2.Red'!$J$8</f>
        <v>31.2792</v>
      </c>
      <c r="D134" s="134">
        <f>'2.Red'!$D26+'1.Distancias'!$C46*'2.Red'!$B$11+'2.Red'!$J$8</f>
        <v>31.4886</v>
      </c>
      <c r="E134" s="134">
        <f>'2.Red'!$D26+'1.Distancias'!$C46*'2.Red'!$B$13+'2.Red'!$J$8</f>
        <v>31.5933</v>
      </c>
      <c r="F134" s="134">
        <f>'2.Red'!$F26+'1.Distancias'!$C46*'2.Red'!$B$14+'2.Red'!$K$8</f>
        <v>29.6631</v>
      </c>
      <c r="G134" s="134">
        <f>'2.Red'!$F26+'1.Distancias'!$C46*'2.Red'!$B$17+'2.Red'!$K$8</f>
        <v>30.0121</v>
      </c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 ht="15.75" customHeight="1">
      <c r="A135" s="27" t="s">
        <v>219</v>
      </c>
      <c r="B135" s="134">
        <f>'2.Red'!$D27+'1.Distancias'!$C51*'2.Red'!$B$9+'2.Red'!$J$8</f>
        <v>31.375</v>
      </c>
      <c r="C135" s="134">
        <f>'2.Red'!$D27+'1.Distancias'!$C51*'2.Red'!$B$10+'2.Red'!$J$8</f>
        <v>31.5</v>
      </c>
      <c r="D135" s="134">
        <f>'2.Red'!$D27+'1.Distancias'!$C51*'2.Red'!$B$11+'2.Red'!$J$8</f>
        <v>31.875</v>
      </c>
      <c r="E135" s="134">
        <f>'2.Red'!$D27+'1.Distancias'!$C51*'2.Red'!$B$13+'2.Red'!$J$8</f>
        <v>32.0625</v>
      </c>
      <c r="F135" s="134">
        <f>'2.Red'!$F27+'1.Distancias'!$C51*'2.Red'!$B$14+'2.Red'!$K$8</f>
        <v>30.1875</v>
      </c>
      <c r="G135" s="134">
        <f>'2.Red'!$F27+'1.Distancias'!$C51*'2.Red'!$B$17+'2.Red'!$K$8</f>
        <v>30.8125</v>
      </c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 ht="15.75" customHeight="1">
      <c r="A136" s="27" t="s">
        <v>220</v>
      </c>
      <c r="B136" s="134">
        <f>'2.Red'!$D27+'1.Distancias'!$C56*'2.Red'!$B$9+'2.Red'!$J$8</f>
        <v>31.2094</v>
      </c>
      <c r="C136" s="134">
        <f>'2.Red'!$D27+'1.Distancias'!$C56*'2.Red'!$B$10+'2.Red'!$J$8</f>
        <v>31.2792</v>
      </c>
      <c r="D136" s="134">
        <f>'2.Red'!$D27+'1.Distancias'!$C56*'2.Red'!$B$11+'2.Red'!$J$8</f>
        <v>31.4886</v>
      </c>
      <c r="E136" s="134">
        <f>'2.Red'!$D27+'1.Distancias'!$C56*'2.Red'!$B$13+'2.Red'!$J$8</f>
        <v>31.5933</v>
      </c>
      <c r="F136" s="134">
        <f>'2.Red'!$F27+'1.Distancias'!$C56*'2.Red'!$B$14+'2.Red'!$K$8</f>
        <v>29.6631</v>
      </c>
      <c r="G136" s="134">
        <f>'2.Red'!$F27+'1.Distancias'!$C56*'2.Red'!$B$17+'2.Red'!$K$8</f>
        <v>30.0121</v>
      </c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 ht="15.75" customHeight="1">
      <c r="A137" s="27" t="s">
        <v>221</v>
      </c>
      <c r="B137" s="134">
        <f>'2.Red'!$D28+'1.Distancias'!$C61*'2.Red'!$B$9+'2.Red'!$J$8</f>
        <v>27.375</v>
      </c>
      <c r="C137" s="134">
        <f>'2.Red'!$D28+'1.Distancias'!$C61*'2.Red'!$B$10+'2.Red'!$J$8</f>
        <v>27.5</v>
      </c>
      <c r="D137" s="134">
        <f>'2.Red'!$D28+'1.Distancias'!$C61*'2.Red'!$B$11+'2.Red'!$J$8</f>
        <v>27.875</v>
      </c>
      <c r="E137" s="134">
        <f>'2.Red'!$D28+'1.Distancias'!$C61*'2.Red'!$B$13+'2.Red'!$J$8</f>
        <v>28.0625</v>
      </c>
      <c r="F137" s="134">
        <f>'2.Red'!$F28+'1.Distancias'!$C61*'2.Red'!$B$14+'2.Red'!$K$8</f>
        <v>26.1875</v>
      </c>
      <c r="G137" s="134">
        <f>'2.Red'!$F28+'1.Distancias'!$C61*'2.Red'!$B$17+'2.Red'!$K$8</f>
        <v>26.8125</v>
      </c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 ht="15.75" customHeight="1">
      <c r="A138" s="27" t="s">
        <v>222</v>
      </c>
      <c r="B138" s="134">
        <f>'2.Red'!$D28+'1.Distancias'!$C66*'2.Red'!$B$9+'2.Red'!$J$8</f>
        <v>27.2094</v>
      </c>
      <c r="C138" s="134">
        <f>'2.Red'!$D28+'1.Distancias'!$C66*'2.Red'!$B$10+'2.Red'!$J$8</f>
        <v>27.2792</v>
      </c>
      <c r="D138" s="134">
        <f>'2.Red'!$D28+'1.Distancias'!$C66*'2.Red'!$B$11+'2.Red'!$J$8</f>
        <v>27.4886</v>
      </c>
      <c r="E138" s="134">
        <f>'2.Red'!$D28+'1.Distancias'!$C66*'2.Red'!$B$13+'2.Red'!$J$8</f>
        <v>27.5933</v>
      </c>
      <c r="F138" s="134">
        <f>'2.Red'!$F28+'1.Distancias'!$C66*'2.Red'!$B$14+'2.Red'!$K$8</f>
        <v>25.6631</v>
      </c>
      <c r="G138" s="134">
        <f>'2.Red'!$F28+'1.Distancias'!$C66*'2.Red'!$B$17+'2.Red'!$K$8</f>
        <v>26.0121</v>
      </c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 ht="15.75" customHeight="1">
      <c r="A139" s="27" t="s">
        <v>223</v>
      </c>
      <c r="B139" s="134">
        <f>'2.Red'!$D29+'1.Distancias'!$C71*'2.Red'!$B$9+'2.Red'!$J$8</f>
        <v>27.375</v>
      </c>
      <c r="C139" s="134">
        <f>'2.Red'!$D29+'1.Distancias'!$C71*'2.Red'!$B$10+'2.Red'!$J$8</f>
        <v>27.5</v>
      </c>
      <c r="D139" s="134">
        <f>'2.Red'!$D29+'1.Distancias'!$C71*'2.Red'!$B$11+'2.Red'!$J$8</f>
        <v>27.875</v>
      </c>
      <c r="E139" s="134">
        <f>'2.Red'!$D29+'1.Distancias'!$C71*'2.Red'!$B$13+'2.Red'!$J$8</f>
        <v>28.0625</v>
      </c>
      <c r="F139" s="134">
        <f>'2.Red'!$F29+'1.Distancias'!$C71*'2.Red'!$B$14+'2.Red'!$K$8</f>
        <v>26.1875</v>
      </c>
      <c r="G139" s="134">
        <f>'2.Red'!$F29+'1.Distancias'!$C71*'2.Red'!$B$17+'2.Red'!$K$8</f>
        <v>26.8125</v>
      </c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 ht="15.75" customHeight="1">
      <c r="A140" s="27" t="s">
        <v>224</v>
      </c>
      <c r="B140" s="134">
        <f>'2.Red'!$D29+'1.Distancias'!$C76*'2.Red'!$B$9+'2.Red'!$J$8</f>
        <v>27.2094</v>
      </c>
      <c r="C140" s="134">
        <f>'2.Red'!$D29+'1.Distancias'!$C76*'2.Red'!$B$10+'2.Red'!$J$8</f>
        <v>27.2792</v>
      </c>
      <c r="D140" s="134">
        <f>'2.Red'!$D29+'1.Distancias'!$C76*'2.Red'!$B$11+'2.Red'!$J$8</f>
        <v>27.4886</v>
      </c>
      <c r="E140" s="134">
        <f>'2.Red'!$D29+'1.Distancias'!$C76*'2.Red'!$B$13+'2.Red'!$J$8</f>
        <v>27.5933</v>
      </c>
      <c r="F140" s="134">
        <f>'2.Red'!$F29+'1.Distancias'!$C76*'2.Red'!$B$14+'2.Red'!$K$8</f>
        <v>25.6631</v>
      </c>
      <c r="G140" s="134">
        <f>'2.Red'!$F29+'1.Distancias'!$C76*'2.Red'!$B$17+'2.Red'!$K$8</f>
        <v>26.0121</v>
      </c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 ht="15.75" customHeight="1">
      <c r="A141" s="27" t="s">
        <v>225</v>
      </c>
      <c r="B141" s="134">
        <f>'2.Red'!$D30+'1.Distancias'!$C81*'2.Red'!$B$9+'2.Red'!$J$8</f>
        <v>23.375</v>
      </c>
      <c r="C141" s="134">
        <f>'2.Red'!$D30+'1.Distancias'!$C81*'2.Red'!$B$10+'2.Red'!$J$8</f>
        <v>23.5</v>
      </c>
      <c r="D141" s="134">
        <f>'2.Red'!$D30+'1.Distancias'!$C81*'2.Red'!$B$11+'2.Red'!$J$8</f>
        <v>23.875</v>
      </c>
      <c r="E141" s="134">
        <f>'2.Red'!$D30+'1.Distancias'!$C81*'2.Red'!$B$13+'2.Red'!$J$8</f>
        <v>24.0625</v>
      </c>
      <c r="F141" s="134">
        <f>'2.Red'!$F30+'1.Distancias'!$C81*'2.Red'!$B$14+'2.Red'!$K$8</f>
        <v>22.1875</v>
      </c>
      <c r="G141" s="134">
        <f>'2.Red'!$F30+'1.Distancias'!$C81*'2.Red'!$B$17+'2.Red'!$K$8</f>
        <v>22.8125</v>
      </c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</row>
    <row r="142" ht="15.75" customHeight="1">
      <c r="A142" s="27" t="s">
        <v>226</v>
      </c>
      <c r="B142" s="134">
        <f>'2.Red'!$D30+'1.Distancias'!$C86*'2.Red'!$B$9+'2.Red'!$J$8</f>
        <v>23.2094</v>
      </c>
      <c r="C142" s="134">
        <f>'2.Red'!$D30+'1.Distancias'!$C86*'2.Red'!$B$10+'2.Red'!$J$8</f>
        <v>23.2792</v>
      </c>
      <c r="D142" s="134">
        <f>'2.Red'!$D30+'1.Distancias'!$C86*'2.Red'!$B$11+'2.Red'!$J$8</f>
        <v>23.4886</v>
      </c>
      <c r="E142" s="134">
        <f>'2.Red'!$D30+'1.Distancias'!$C86*'2.Red'!$B$13+'2.Red'!$J$8</f>
        <v>23.5933</v>
      </c>
      <c r="F142" s="134">
        <f>'2.Red'!$F30+'1.Distancias'!$C86*'2.Red'!$B$14+'2.Red'!$K$8</f>
        <v>21.6631</v>
      </c>
      <c r="G142" s="134">
        <f>'2.Red'!$F30+'1.Distancias'!$C86*'2.Red'!$B$17+'2.Red'!$K$8</f>
        <v>22.0121</v>
      </c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 ht="15.75" customHeight="1">
      <c r="A143" s="29"/>
      <c r="B143" s="27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 ht="15.75" customHeight="1">
      <c r="A144" s="29"/>
      <c r="B144" s="27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 ht="15.75" customHeight="1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</row>
    <row r="147" ht="15.75" customHeight="1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</row>
    <row r="148" ht="15.75" customHeight="1">
      <c r="A148" s="135"/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</row>
    <row r="149" ht="15.75" customHeight="1">
      <c r="A149" s="135"/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</row>
    <row r="150" ht="15.75" customHeight="1">
      <c r="A150" s="135"/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</row>
    <row r="151" ht="15.75" customHeight="1">
      <c r="A151" s="135"/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</row>
    <row r="152" ht="15.75" customHeight="1">
      <c r="A152" s="135"/>
      <c r="B152" s="135"/>
      <c r="C152" s="135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</row>
    <row r="153" ht="15.75" customHeight="1">
      <c r="A153" s="135"/>
      <c r="B153" s="135"/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</row>
    <row r="154" ht="15.75" customHeight="1">
      <c r="A154" s="135"/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</row>
    <row r="155" ht="15.75" customHeight="1">
      <c r="A155" s="135"/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</row>
    <row r="156" ht="15.75" customHeight="1">
      <c r="A156" s="135"/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  <c r="AC156" s="135"/>
    </row>
    <row r="157" ht="15.75" customHeight="1">
      <c r="A157" s="135"/>
      <c r="B157" s="136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  <c r="AC157" s="135"/>
    </row>
    <row r="158" ht="15.75" customHeight="1">
      <c r="A158" s="135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</row>
    <row r="159" ht="15.75" customHeight="1">
      <c r="A159" s="135"/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  <c r="AC159" s="135"/>
    </row>
    <row r="160" ht="15.75" customHeight="1">
      <c r="A160" s="135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5"/>
    </row>
    <row r="161" ht="15.75" customHeight="1">
      <c r="A161" s="135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5"/>
    </row>
    <row r="162" ht="15.75" customHeight="1">
      <c r="A162" s="135"/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</row>
    <row r="163" ht="15.75" customHeight="1">
      <c r="A163" s="135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</row>
    <row r="164" ht="15.75" customHeight="1">
      <c r="A164" s="135"/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</row>
    <row r="165" ht="15.75" customHeight="1">
      <c r="A165" s="135"/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</row>
    <row r="166" ht="15.75" customHeight="1">
      <c r="A166" s="135"/>
      <c r="B166" s="135"/>
      <c r="C166" s="135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  <c r="AB166" s="135"/>
      <c r="AC166" s="135"/>
    </row>
    <row r="167" ht="15.75" customHeight="1">
      <c r="A167" s="135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  <c r="AC167" s="135"/>
    </row>
    <row r="168" ht="15.75" customHeight="1">
      <c r="A168" s="135"/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</row>
    <row r="169" ht="15.75" customHeight="1">
      <c r="A169" s="135"/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</row>
    <row r="170" ht="15.75" customHeight="1">
      <c r="A170" s="135"/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</row>
    <row r="171" ht="15.75" customHeight="1">
      <c r="A171" s="135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</row>
    <row r="172" ht="15.75" customHeight="1">
      <c r="A172" s="135"/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  <c r="AC172" s="135"/>
    </row>
    <row r="173" ht="15.75" customHeight="1">
      <c r="A173" s="135"/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5"/>
    </row>
    <row r="174" ht="15.75" customHeight="1">
      <c r="A174" s="135"/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</row>
    <row r="175" ht="15.75" customHeight="1">
      <c r="A175" s="135"/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</row>
    <row r="176" ht="15.75" customHeight="1">
      <c r="A176" s="135"/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</row>
    <row r="177" ht="15.75" customHeight="1">
      <c r="A177" s="135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</row>
    <row r="178" ht="15.75" customHeight="1">
      <c r="A178" s="135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5"/>
    </row>
    <row r="179" ht="15.75" customHeight="1">
      <c r="A179" s="135"/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</row>
    <row r="180" ht="15.75" customHeight="1">
      <c r="A180" s="135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</row>
    <row r="181" ht="15.75" customHeight="1">
      <c r="A181" s="135"/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</row>
    <row r="182" ht="15.75" customHeight="1">
      <c r="A182" s="135"/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</row>
    <row r="183" ht="15.75" customHeight="1">
      <c r="A183" s="135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  <c r="AA183" s="135"/>
      <c r="AB183" s="135"/>
      <c r="AC183" s="135"/>
    </row>
    <row r="184" ht="15.75" customHeight="1">
      <c r="A184" s="135"/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35"/>
      <c r="AC184" s="135"/>
    </row>
    <row r="185" ht="15.75" customHeight="1">
      <c r="A185" s="135"/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35"/>
      <c r="AC185" s="135"/>
    </row>
    <row r="186" ht="15.75" customHeight="1">
      <c r="A186" s="135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  <c r="AA186" s="135"/>
      <c r="AB186" s="135"/>
      <c r="AC186" s="135"/>
    </row>
    <row r="187" ht="15.75" customHeight="1">
      <c r="A187" s="135"/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  <c r="AA187" s="135"/>
      <c r="AB187" s="135"/>
      <c r="AC187" s="135"/>
    </row>
    <row r="188" ht="15.75" customHeight="1">
      <c r="A188" s="135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</row>
    <row r="189" ht="15.75" customHeight="1">
      <c r="A189" s="135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  <c r="AB189" s="135"/>
      <c r="AC189" s="135"/>
    </row>
    <row r="190" ht="15.75" customHeight="1">
      <c r="A190" s="135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35"/>
      <c r="AC190" s="135"/>
    </row>
    <row r="191" ht="15.75" customHeight="1">
      <c r="A191" s="135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  <c r="AB191" s="135"/>
      <c r="AC191" s="135"/>
    </row>
    <row r="192" ht="15.75" customHeight="1">
      <c r="A192" s="135"/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  <c r="AB192" s="135"/>
      <c r="AC192" s="135"/>
    </row>
    <row r="193" ht="15.75" customHeight="1">
      <c r="A193" s="135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  <c r="AC193" s="135"/>
    </row>
    <row r="194" ht="15.75" customHeight="1">
      <c r="A194" s="135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  <c r="AB194" s="135"/>
      <c r="AC194" s="135"/>
    </row>
    <row r="195" ht="15.75" customHeight="1">
      <c r="A195" s="135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  <c r="AB195" s="135"/>
      <c r="AC195" s="135"/>
    </row>
    <row r="196" ht="15.75" customHeight="1">
      <c r="A196" s="135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  <c r="AB196" s="135"/>
      <c r="AC196" s="135"/>
    </row>
    <row r="197" ht="15.75" customHeight="1">
      <c r="A197" s="135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  <c r="AB197" s="135"/>
      <c r="AC197" s="135"/>
    </row>
    <row r="198" ht="15.75" customHeight="1">
      <c r="A198" s="135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35"/>
    </row>
    <row r="199" ht="15.75" customHeight="1">
      <c r="A199" s="135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  <c r="AC199" s="135"/>
    </row>
    <row r="200" ht="15.75" customHeight="1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  <c r="AB200" s="135"/>
      <c r="AC200" s="135"/>
    </row>
    <row r="201" ht="15.75" customHeight="1">
      <c r="A201" s="135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</row>
    <row r="202" ht="15.75" customHeight="1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  <c r="AB202" s="135"/>
      <c r="AC202" s="135"/>
    </row>
    <row r="203" ht="15.75" customHeight="1">
      <c r="A203" s="135"/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  <c r="AB203" s="135"/>
      <c r="AC203" s="135"/>
    </row>
    <row r="204" ht="15.75" customHeight="1">
      <c r="A204" s="135"/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  <c r="AB204" s="135"/>
      <c r="AC204" s="135"/>
    </row>
    <row r="205" ht="15.75" customHeight="1">
      <c r="A205" s="135"/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  <c r="AC205" s="135"/>
    </row>
    <row r="206" ht="15.75" customHeight="1">
      <c r="A206" s="135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  <c r="AB206" s="135"/>
      <c r="AC206" s="135"/>
    </row>
    <row r="207" ht="15.75" customHeight="1">
      <c r="A207" s="135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</row>
    <row r="208" ht="15.75" customHeight="1">
      <c r="A208" s="135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</row>
    <row r="209" ht="15.75" customHeight="1">
      <c r="A209" s="135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</row>
    <row r="210" ht="15.75" customHeight="1">
      <c r="A210" s="135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</row>
    <row r="211" ht="15.75" customHeight="1">
      <c r="A211" s="135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</row>
    <row r="212" ht="15.75" customHeight="1">
      <c r="A212" s="135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</row>
    <row r="213" ht="15.75" customHeight="1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</row>
    <row r="214" ht="15.75" customHeight="1">
      <c r="A214" s="135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</row>
    <row r="215" ht="15.75" customHeight="1">
      <c r="A215" s="135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  <c r="AC215" s="135"/>
    </row>
    <row r="216" ht="15.75" customHeight="1">
      <c r="A216" s="135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</row>
    <row r="217" ht="15.75" customHeight="1">
      <c r="A217" s="135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  <c r="AB217" s="135"/>
      <c r="AC217" s="135"/>
    </row>
    <row r="218" ht="15.75" customHeight="1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  <c r="AB218" s="135"/>
      <c r="AC218" s="135"/>
    </row>
    <row r="219" ht="15.75" customHeight="1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  <c r="AB219" s="135"/>
      <c r="AC219" s="135"/>
    </row>
    <row r="220" ht="15.75" customHeight="1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  <c r="AC220" s="135"/>
    </row>
    <row r="221" ht="15.75" customHeight="1">
      <c r="A221" s="135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  <c r="AB221" s="135"/>
      <c r="AC221" s="135"/>
    </row>
    <row r="222" ht="15.75" customHeight="1">
      <c r="A222" s="135"/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</row>
    <row r="223" ht="15.75" customHeight="1">
      <c r="A223" s="135"/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  <c r="AC223" s="135"/>
    </row>
    <row r="224" ht="15.75" customHeight="1">
      <c r="A224" s="135"/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  <c r="AC224" s="135"/>
    </row>
    <row r="225" ht="15.75" customHeight="1">
      <c r="A225" s="135"/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</row>
    <row r="226" ht="15.75" customHeight="1">
      <c r="A226" s="135"/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  <c r="AB226" s="135"/>
      <c r="AC226" s="135"/>
    </row>
    <row r="227" ht="15.75" customHeight="1">
      <c r="A227" s="135"/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  <c r="AA227" s="135"/>
      <c r="AB227" s="135"/>
      <c r="AC227" s="135"/>
    </row>
    <row r="228" ht="15.75" customHeight="1">
      <c r="A228" s="135"/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  <c r="AA228" s="135"/>
      <c r="AB228" s="135"/>
      <c r="AC228" s="135"/>
    </row>
    <row r="229" ht="15.75" customHeight="1">
      <c r="A229" s="135"/>
      <c r="B229" s="135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  <c r="AA229" s="135"/>
      <c r="AB229" s="135"/>
      <c r="AC229" s="135"/>
    </row>
    <row r="230" ht="15.75" customHeight="1">
      <c r="A230" s="135"/>
      <c r="B230" s="135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  <c r="AA230" s="135"/>
      <c r="AB230" s="135"/>
      <c r="AC230" s="135"/>
    </row>
    <row r="231" ht="15.75" customHeight="1">
      <c r="A231" s="135"/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  <c r="AC231" s="135"/>
    </row>
    <row r="232" ht="15.75" customHeight="1">
      <c r="A232" s="135"/>
      <c r="B232" s="135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</row>
    <row r="233" ht="15.75" customHeight="1">
      <c r="A233" s="135"/>
      <c r="B233" s="135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  <c r="AA233" s="135"/>
      <c r="AB233" s="135"/>
      <c r="AC233" s="135"/>
    </row>
    <row r="234" ht="15.75" customHeight="1">
      <c r="A234" s="135"/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  <c r="AB234" s="135"/>
      <c r="AC234" s="135"/>
    </row>
    <row r="235" ht="15.75" customHeight="1">
      <c r="A235" s="135"/>
      <c r="B235" s="13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  <c r="AA235" s="135"/>
      <c r="AB235" s="135"/>
      <c r="AC235" s="135"/>
    </row>
    <row r="236" ht="15.75" customHeight="1">
      <c r="A236" s="135"/>
      <c r="B236" s="135"/>
      <c r="C236" s="135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  <c r="AA236" s="135"/>
      <c r="AB236" s="135"/>
      <c r="AC236" s="135"/>
    </row>
    <row r="237" ht="15.75" customHeight="1">
      <c r="A237" s="135"/>
      <c r="B237" s="135"/>
      <c r="C237" s="135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  <c r="AA237" s="135"/>
      <c r="AB237" s="135"/>
      <c r="AC237" s="135"/>
    </row>
    <row r="238" ht="15.75" customHeight="1">
      <c r="A238" s="135"/>
      <c r="B238" s="135"/>
      <c r="C238" s="135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  <c r="AA238" s="135"/>
      <c r="AB238" s="135"/>
      <c r="AC238" s="135"/>
    </row>
    <row r="239" ht="15.75" customHeight="1">
      <c r="A239" s="135"/>
      <c r="B239" s="135"/>
      <c r="C239" s="135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  <c r="AA239" s="135"/>
      <c r="AB239" s="135"/>
      <c r="AC239" s="135"/>
    </row>
    <row r="240" ht="15.75" customHeight="1">
      <c r="A240" s="135"/>
      <c r="B240" s="135"/>
      <c r="C240" s="135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  <c r="AA240" s="135"/>
      <c r="AB240" s="135"/>
      <c r="AC240" s="135"/>
    </row>
    <row r="241" ht="15.75" customHeight="1">
      <c r="A241" s="135"/>
      <c r="B241" s="135"/>
      <c r="C241" s="135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  <c r="AA241" s="135"/>
      <c r="AB241" s="135"/>
      <c r="AC241" s="135"/>
    </row>
    <row r="242" ht="15.75" customHeight="1">
      <c r="A242" s="135"/>
      <c r="B242" s="135"/>
      <c r="C242" s="135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  <c r="AA242" s="135"/>
      <c r="AB242" s="135"/>
      <c r="AC242" s="135"/>
    </row>
    <row r="243" ht="15.75" customHeight="1">
      <c r="A243" s="135"/>
      <c r="B243" s="135"/>
      <c r="C243" s="135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  <c r="AA243" s="135"/>
      <c r="AB243" s="135"/>
      <c r="AC243" s="135"/>
    </row>
    <row r="244" ht="15.75" customHeight="1">
      <c r="A244" s="135"/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  <c r="AA244" s="135"/>
      <c r="AB244" s="135"/>
      <c r="AC244" s="135"/>
    </row>
    <row r="245" ht="15.75" customHeight="1">
      <c r="A245" s="135"/>
      <c r="B245" s="135"/>
      <c r="C245" s="135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  <c r="AA245" s="135"/>
      <c r="AB245" s="135"/>
      <c r="AC245" s="135"/>
    </row>
    <row r="246" ht="15.75" customHeight="1">
      <c r="A246" s="135"/>
      <c r="B246" s="135"/>
      <c r="C246" s="135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  <c r="AA246" s="135"/>
      <c r="AB246" s="135"/>
      <c r="AC246" s="135"/>
    </row>
    <row r="247" ht="15.75" customHeight="1">
      <c r="A247" s="135"/>
      <c r="B247" s="135"/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  <c r="AA247" s="135"/>
      <c r="AB247" s="135"/>
      <c r="AC247" s="135"/>
    </row>
    <row r="248" ht="15.75" customHeight="1">
      <c r="A248" s="135"/>
      <c r="B248" s="135"/>
      <c r="C248" s="135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  <c r="AA248" s="135"/>
      <c r="AB248" s="135"/>
      <c r="AC248" s="135"/>
    </row>
    <row r="249" ht="15.75" customHeight="1">
      <c r="A249" s="135"/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  <c r="AA249" s="135"/>
      <c r="AB249" s="135"/>
      <c r="AC249" s="135"/>
    </row>
    <row r="250" ht="15.75" customHeight="1">
      <c r="A250" s="135"/>
      <c r="B250" s="135"/>
      <c r="C250" s="135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  <c r="AB250" s="135"/>
      <c r="AC250" s="135"/>
    </row>
    <row r="251" ht="15.75" customHeight="1">
      <c r="A251" s="135"/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  <c r="AA251" s="135"/>
      <c r="AB251" s="135"/>
      <c r="AC251" s="135"/>
    </row>
    <row r="252" ht="15.75" customHeight="1">
      <c r="A252" s="135"/>
      <c r="B252" s="135"/>
      <c r="C252" s="135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  <c r="AA252" s="135"/>
      <c r="AB252" s="135"/>
      <c r="AC252" s="135"/>
    </row>
    <row r="253" ht="15.75" customHeight="1">
      <c r="A253" s="135"/>
      <c r="B253" s="135"/>
      <c r="C253" s="135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  <c r="AA253" s="135"/>
      <c r="AB253" s="135"/>
      <c r="AC253" s="135"/>
    </row>
    <row r="254" ht="15.75" customHeight="1">
      <c r="A254" s="135"/>
      <c r="B254" s="135"/>
      <c r="C254" s="135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  <c r="AA254" s="135"/>
      <c r="AB254" s="135"/>
      <c r="AC254" s="135"/>
    </row>
    <row r="255" ht="15.75" customHeight="1">
      <c r="A255" s="135"/>
      <c r="B255" s="135"/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  <c r="AA255" s="135"/>
      <c r="AB255" s="135"/>
      <c r="AC255" s="135"/>
    </row>
    <row r="256" ht="15.75" customHeight="1">
      <c r="A256" s="135"/>
      <c r="B256" s="135"/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  <c r="AA256" s="135"/>
      <c r="AB256" s="135"/>
      <c r="AC256" s="135"/>
    </row>
    <row r="257" ht="15.75" customHeight="1">
      <c r="A257" s="135"/>
      <c r="B257" s="135"/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  <c r="AA257" s="135"/>
      <c r="AB257" s="135"/>
      <c r="AC257" s="135"/>
    </row>
    <row r="258" ht="15.75" customHeight="1">
      <c r="A258" s="135"/>
      <c r="B258" s="135"/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  <c r="AA258" s="135"/>
      <c r="AB258" s="135"/>
      <c r="AC258" s="135"/>
    </row>
    <row r="259" ht="15.75" customHeight="1">
      <c r="A259" s="135"/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  <c r="AA259" s="135"/>
      <c r="AB259" s="135"/>
      <c r="AC259" s="135"/>
    </row>
    <row r="260" ht="15.75" customHeight="1">
      <c r="A260" s="135"/>
      <c r="B260" s="135"/>
      <c r="C260" s="135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  <c r="AA260" s="135"/>
      <c r="AB260" s="135"/>
      <c r="AC260" s="135"/>
    </row>
    <row r="261" ht="15.75" customHeight="1">
      <c r="A261" s="135"/>
      <c r="B261" s="135"/>
      <c r="C261" s="135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5"/>
      <c r="AA261" s="135"/>
      <c r="AB261" s="135"/>
      <c r="AC261" s="135"/>
    </row>
    <row r="262" ht="15.75" customHeight="1">
      <c r="A262" s="135"/>
      <c r="B262" s="135"/>
      <c r="C262" s="135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5"/>
      <c r="AA262" s="135"/>
      <c r="AB262" s="135"/>
      <c r="AC262" s="135"/>
    </row>
    <row r="263" ht="15.75" customHeight="1">
      <c r="A263" s="135"/>
      <c r="B263" s="135"/>
      <c r="C263" s="135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5"/>
      <c r="AA263" s="135"/>
      <c r="AB263" s="135"/>
      <c r="AC263" s="135"/>
    </row>
    <row r="264" ht="15.75" customHeight="1">
      <c r="A264" s="135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</row>
    <row r="265" ht="15.75" customHeight="1">
      <c r="A265" s="135"/>
      <c r="B265" s="135"/>
      <c r="C265" s="135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  <c r="AA265" s="135"/>
      <c r="AB265" s="135"/>
      <c r="AC265" s="135"/>
    </row>
    <row r="266" ht="15.75" customHeight="1">
      <c r="A266" s="135"/>
      <c r="B266" s="135"/>
      <c r="C266" s="135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  <c r="AA266" s="135"/>
      <c r="AB266" s="135"/>
      <c r="AC266" s="135"/>
    </row>
    <row r="267" ht="15.75" customHeight="1">
      <c r="A267" s="135"/>
      <c r="B267" s="135"/>
      <c r="C267" s="135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  <c r="AA267" s="135"/>
      <c r="AB267" s="135"/>
      <c r="AC267" s="135"/>
    </row>
    <row r="268" ht="15.75" customHeight="1">
      <c r="A268" s="135"/>
      <c r="B268" s="135"/>
      <c r="C268" s="135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5"/>
      <c r="AA268" s="135"/>
      <c r="AB268" s="135"/>
      <c r="AC268" s="135"/>
    </row>
    <row r="269" ht="15.75" customHeight="1">
      <c r="A269" s="135"/>
      <c r="B269" s="135"/>
      <c r="C269" s="135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  <c r="AA269" s="135"/>
      <c r="AB269" s="135"/>
      <c r="AC269" s="135"/>
    </row>
    <row r="270" ht="15.75" customHeight="1">
      <c r="A270" s="135"/>
      <c r="B270" s="135"/>
      <c r="C270" s="135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  <c r="AB270" s="135"/>
      <c r="AC270" s="135"/>
    </row>
    <row r="271" ht="15.75" customHeight="1">
      <c r="A271" s="135"/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  <c r="Z271" s="135"/>
      <c r="AA271" s="135"/>
      <c r="AB271" s="135"/>
      <c r="AC271" s="135"/>
    </row>
    <row r="272" ht="15.75" customHeight="1">
      <c r="A272" s="135"/>
      <c r="B272" s="135"/>
      <c r="C272" s="135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  <c r="AA272" s="135"/>
      <c r="AB272" s="135"/>
      <c r="AC272" s="135"/>
    </row>
    <row r="273" ht="15.75" customHeight="1">
      <c r="A273" s="135"/>
      <c r="B273" s="135"/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  <c r="AA273" s="135"/>
      <c r="AB273" s="135"/>
      <c r="AC273" s="135"/>
    </row>
    <row r="274" ht="15.75" customHeight="1">
      <c r="A274" s="135"/>
      <c r="B274" s="135"/>
      <c r="C274" s="135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5"/>
      <c r="AA274" s="135"/>
      <c r="AB274" s="135"/>
      <c r="AC274" s="135"/>
    </row>
    <row r="275" ht="15.75" customHeight="1">
      <c r="A275" s="135"/>
      <c r="B275" s="135"/>
      <c r="C275" s="135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  <c r="AA275" s="135"/>
      <c r="AB275" s="135"/>
      <c r="AC275" s="135"/>
    </row>
    <row r="276" ht="15.75" customHeight="1">
      <c r="A276" s="135"/>
      <c r="B276" s="135"/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5"/>
      <c r="AA276" s="135"/>
      <c r="AB276" s="135"/>
      <c r="AC276" s="135"/>
    </row>
    <row r="277" ht="15.75" customHeight="1">
      <c r="A277" s="135"/>
      <c r="B277" s="135"/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  <c r="AA277" s="135"/>
      <c r="AB277" s="135"/>
      <c r="AC277" s="135"/>
    </row>
    <row r="278" ht="15.75" customHeight="1">
      <c r="A278" s="135"/>
      <c r="B278" s="135"/>
      <c r="C278" s="135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  <c r="AA278" s="135"/>
      <c r="AB278" s="135"/>
      <c r="AC278" s="135"/>
    </row>
    <row r="279" ht="15.75" customHeight="1">
      <c r="A279" s="135"/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  <c r="AA279" s="135"/>
      <c r="AB279" s="135"/>
      <c r="AC279" s="135"/>
    </row>
    <row r="280" ht="15.75" customHeight="1">
      <c r="A280" s="135"/>
      <c r="B280" s="135"/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5"/>
      <c r="AA280" s="135"/>
      <c r="AB280" s="135"/>
      <c r="AC280" s="135"/>
    </row>
    <row r="281" ht="15.75" customHeight="1">
      <c r="A281" s="135"/>
      <c r="B281" s="135"/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5"/>
      <c r="AA281" s="135"/>
      <c r="AB281" s="135"/>
      <c r="AC281" s="135"/>
    </row>
    <row r="282" ht="15.75" customHeight="1">
      <c r="A282" s="135"/>
      <c r="B282" s="135"/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  <c r="AA282" s="135"/>
      <c r="AB282" s="135"/>
      <c r="AC282" s="135"/>
    </row>
    <row r="283" ht="15.75" customHeight="1">
      <c r="A283" s="135"/>
      <c r="B283" s="135"/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  <c r="AA283" s="135"/>
      <c r="AB283" s="135"/>
      <c r="AC283" s="135"/>
    </row>
    <row r="284" ht="15.75" customHeight="1">
      <c r="A284" s="135"/>
      <c r="B284" s="135"/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5"/>
      <c r="AA284" s="135"/>
      <c r="AB284" s="135"/>
      <c r="AC284" s="135"/>
    </row>
    <row r="285" ht="15.75" customHeight="1">
      <c r="A285" s="135"/>
      <c r="B285" s="135"/>
      <c r="C285" s="135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  <c r="AA285" s="135"/>
      <c r="AB285" s="135"/>
      <c r="AC285" s="135"/>
    </row>
    <row r="286" ht="15.75" customHeight="1">
      <c r="A286" s="135"/>
      <c r="B286" s="135"/>
      <c r="C286" s="135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  <c r="Z286" s="135"/>
      <c r="AA286" s="135"/>
      <c r="AB286" s="135"/>
      <c r="AC286" s="135"/>
    </row>
    <row r="287" ht="15.75" customHeight="1">
      <c r="A287" s="135"/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  <c r="AA287" s="135"/>
      <c r="AB287" s="135"/>
      <c r="AC287" s="135"/>
    </row>
    <row r="288" ht="15.75" customHeight="1">
      <c r="A288" s="135"/>
      <c r="B288" s="135"/>
      <c r="C288" s="135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  <c r="AA288" s="135"/>
      <c r="AB288" s="135"/>
      <c r="AC288" s="135"/>
    </row>
    <row r="289" ht="15.75" customHeight="1">
      <c r="A289" s="135"/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  <c r="AA289" s="135"/>
      <c r="AB289" s="135"/>
      <c r="AC289" s="135"/>
    </row>
    <row r="290" ht="15.75" customHeight="1">
      <c r="A290" s="135"/>
      <c r="B290" s="135"/>
      <c r="C290" s="135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5"/>
      <c r="AA290" s="135"/>
      <c r="AB290" s="135"/>
      <c r="AC290" s="135"/>
    </row>
    <row r="291" ht="15.75" customHeight="1">
      <c r="A291" s="135"/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  <c r="AA291" s="135"/>
      <c r="AB291" s="135"/>
      <c r="AC291" s="135"/>
    </row>
    <row r="292" ht="15.75" customHeight="1">
      <c r="A292" s="135"/>
      <c r="B292" s="135"/>
      <c r="C292" s="135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5"/>
      <c r="AA292" s="135"/>
      <c r="AB292" s="135"/>
      <c r="AC292" s="135"/>
    </row>
    <row r="293" ht="15.75" customHeight="1">
      <c r="A293" s="135"/>
      <c r="B293" s="135"/>
      <c r="C293" s="135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5"/>
      <c r="AA293" s="135"/>
      <c r="AB293" s="135"/>
      <c r="AC293" s="135"/>
    </row>
    <row r="294" ht="15.75" customHeight="1">
      <c r="A294" s="135"/>
      <c r="B294" s="135"/>
      <c r="C294" s="135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5"/>
      <c r="AA294" s="135"/>
      <c r="AB294" s="135"/>
      <c r="AC294" s="135"/>
    </row>
    <row r="295" ht="15.75" customHeight="1">
      <c r="A295" s="135"/>
      <c r="B295" s="135"/>
      <c r="C295" s="135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5"/>
      <c r="AA295" s="135"/>
      <c r="AB295" s="135"/>
      <c r="AC295" s="135"/>
    </row>
    <row r="296" ht="15.75" customHeight="1">
      <c r="A296" s="135"/>
      <c r="B296" s="135"/>
      <c r="C296" s="135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5"/>
      <c r="AA296" s="135"/>
      <c r="AB296" s="135"/>
      <c r="AC296" s="135"/>
    </row>
    <row r="297" ht="15.75" customHeight="1">
      <c r="A297" s="135"/>
      <c r="B297" s="135"/>
      <c r="C297" s="135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5"/>
      <c r="AA297" s="135"/>
      <c r="AB297" s="135"/>
      <c r="AC297" s="135"/>
    </row>
    <row r="298" ht="15.75" customHeight="1">
      <c r="A298" s="135"/>
      <c r="B298" s="135"/>
      <c r="C298" s="135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  <c r="AA298" s="135"/>
      <c r="AB298" s="135"/>
      <c r="AC298" s="135"/>
    </row>
    <row r="299" ht="15.75" customHeight="1">
      <c r="A299" s="135"/>
      <c r="B299" s="135"/>
      <c r="C299" s="135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  <c r="AA299" s="135"/>
      <c r="AB299" s="135"/>
      <c r="AC299" s="135"/>
    </row>
    <row r="300" ht="15.75" customHeight="1">
      <c r="A300" s="135"/>
      <c r="B300" s="135"/>
      <c r="C300" s="135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  <c r="AA300" s="135"/>
      <c r="AB300" s="135"/>
      <c r="AC300" s="135"/>
    </row>
    <row r="301" ht="15.75" customHeight="1">
      <c r="A301" s="135"/>
      <c r="B301" s="135"/>
      <c r="C301" s="135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  <c r="AB301" s="135"/>
      <c r="AC301" s="135"/>
    </row>
    <row r="302" ht="15.75" customHeight="1">
      <c r="A302" s="135"/>
      <c r="B302" s="135"/>
      <c r="C302" s="135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  <c r="Z302" s="135"/>
      <c r="AA302" s="135"/>
      <c r="AB302" s="135"/>
      <c r="AC302" s="135"/>
    </row>
    <row r="303" ht="15.75" customHeight="1">
      <c r="A303" s="135"/>
      <c r="B303" s="135"/>
      <c r="C303" s="135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  <c r="Z303" s="135"/>
      <c r="AA303" s="135"/>
      <c r="AB303" s="135"/>
      <c r="AC303" s="135"/>
    </row>
    <row r="304" ht="15.75" customHeight="1">
      <c r="A304" s="135"/>
      <c r="B304" s="135"/>
      <c r="C304" s="135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  <c r="Z304" s="135"/>
      <c r="AA304" s="135"/>
      <c r="AB304" s="135"/>
      <c r="AC304" s="135"/>
    </row>
    <row r="305" ht="15.75" customHeight="1">
      <c r="A305" s="135"/>
      <c r="B305" s="135"/>
      <c r="C305" s="135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5"/>
      <c r="AA305" s="135"/>
      <c r="AB305" s="135"/>
      <c r="AC305" s="135"/>
    </row>
    <row r="306" ht="15.75" customHeight="1">
      <c r="A306" s="135"/>
      <c r="B306" s="135"/>
      <c r="C306" s="135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  <c r="AA306" s="135"/>
      <c r="AB306" s="135"/>
      <c r="AC306" s="135"/>
    </row>
    <row r="307" ht="15.75" customHeight="1">
      <c r="A307" s="135"/>
      <c r="B307" s="135"/>
      <c r="C307" s="135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  <c r="Z307" s="135"/>
      <c r="AA307" s="135"/>
      <c r="AB307" s="135"/>
      <c r="AC307" s="135"/>
    </row>
    <row r="308" ht="15.75" customHeight="1">
      <c r="A308" s="135"/>
      <c r="B308" s="135"/>
      <c r="C308" s="135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  <c r="Z308" s="135"/>
      <c r="AA308" s="135"/>
      <c r="AB308" s="135"/>
      <c r="AC308" s="135"/>
    </row>
    <row r="309" ht="15.75" customHeight="1">
      <c r="A309" s="135"/>
      <c r="B309" s="135"/>
      <c r="C309" s="135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  <c r="Z309" s="135"/>
      <c r="AA309" s="135"/>
      <c r="AB309" s="135"/>
      <c r="AC309" s="135"/>
    </row>
    <row r="310" ht="15.75" customHeight="1">
      <c r="A310" s="135"/>
      <c r="B310" s="135"/>
      <c r="C310" s="135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  <c r="Z310" s="135"/>
      <c r="AA310" s="135"/>
      <c r="AB310" s="135"/>
      <c r="AC310" s="135"/>
    </row>
    <row r="311" ht="15.75" customHeight="1">
      <c r="A311" s="135"/>
      <c r="B311" s="135"/>
      <c r="C311" s="135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  <c r="Z311" s="135"/>
      <c r="AA311" s="135"/>
      <c r="AB311" s="135"/>
      <c r="AC311" s="135"/>
    </row>
    <row r="312" ht="15.75" customHeight="1">
      <c r="A312" s="135"/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  <c r="Z312" s="135"/>
      <c r="AA312" s="135"/>
      <c r="AB312" s="135"/>
      <c r="AC312" s="135"/>
    </row>
    <row r="313" ht="15.75" customHeight="1">
      <c r="A313" s="135"/>
      <c r="B313" s="135"/>
      <c r="C313" s="135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  <c r="Z313" s="135"/>
      <c r="AA313" s="135"/>
      <c r="AB313" s="135"/>
      <c r="AC313" s="135"/>
    </row>
    <row r="314" ht="15.75" customHeight="1">
      <c r="A314" s="135"/>
      <c r="B314" s="135"/>
      <c r="C314" s="135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  <c r="Z314" s="135"/>
      <c r="AA314" s="135"/>
      <c r="AB314" s="135"/>
      <c r="AC314" s="135"/>
    </row>
    <row r="315" ht="15.75" customHeight="1">
      <c r="A315" s="135"/>
      <c r="B315" s="135"/>
      <c r="C315" s="135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  <c r="Z315" s="135"/>
      <c r="AA315" s="135"/>
      <c r="AB315" s="135"/>
      <c r="AC315" s="135"/>
    </row>
    <row r="316" ht="15.75" customHeight="1">
      <c r="A316" s="135"/>
      <c r="B316" s="135"/>
      <c r="C316" s="135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  <c r="Z316" s="135"/>
      <c r="AA316" s="135"/>
      <c r="AB316" s="135"/>
      <c r="AC316" s="135"/>
    </row>
    <row r="317" ht="15.75" customHeight="1">
      <c r="A317" s="135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</row>
    <row r="318" ht="15.75" customHeight="1">
      <c r="A318" s="135"/>
      <c r="B318" s="135"/>
      <c r="C318" s="135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  <c r="Z318" s="135"/>
      <c r="AA318" s="135"/>
      <c r="AB318" s="135"/>
      <c r="AC318" s="135"/>
    </row>
    <row r="319" ht="15.75" customHeight="1">
      <c r="A319" s="135"/>
      <c r="B319" s="135"/>
      <c r="C319" s="135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  <c r="Z319" s="135"/>
      <c r="AA319" s="135"/>
      <c r="AB319" s="135"/>
      <c r="AC319" s="135"/>
    </row>
    <row r="320" ht="15.75" customHeight="1">
      <c r="A320" s="135"/>
      <c r="B320" s="135"/>
      <c r="C320" s="135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  <c r="Z320" s="135"/>
      <c r="AA320" s="135"/>
      <c r="AB320" s="135"/>
      <c r="AC320" s="135"/>
    </row>
    <row r="321" ht="15.75" customHeight="1">
      <c r="A321" s="135"/>
      <c r="B321" s="135"/>
      <c r="C321" s="135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  <c r="Z321" s="135"/>
      <c r="AA321" s="135"/>
      <c r="AB321" s="135"/>
      <c r="AC321" s="135"/>
    </row>
    <row r="322" ht="15.75" customHeight="1">
      <c r="A322" s="135"/>
      <c r="B322" s="135"/>
      <c r="C322" s="135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  <c r="Z322" s="135"/>
      <c r="AA322" s="135"/>
      <c r="AB322" s="135"/>
      <c r="AC322" s="135"/>
    </row>
    <row r="323" ht="15.75" customHeight="1">
      <c r="A323" s="135"/>
      <c r="B323" s="135"/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  <c r="AA323" s="135"/>
      <c r="AB323" s="135"/>
      <c r="AC323" s="135"/>
    </row>
    <row r="324" ht="15.75" customHeight="1">
      <c r="A324" s="135"/>
      <c r="B324" s="135"/>
      <c r="C324" s="135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  <c r="AA324" s="135"/>
      <c r="AB324" s="135"/>
      <c r="AC324" s="135"/>
    </row>
    <row r="325" ht="15.75" customHeight="1">
      <c r="A325" s="135"/>
      <c r="B325" s="135"/>
      <c r="C325" s="135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  <c r="AA325" s="135"/>
      <c r="AB325" s="135"/>
      <c r="AC325" s="135"/>
    </row>
    <row r="326" ht="15.75" customHeight="1">
      <c r="A326" s="135"/>
      <c r="B326" s="135"/>
      <c r="C326" s="135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5"/>
      <c r="AA326" s="135"/>
      <c r="AB326" s="135"/>
      <c r="AC326" s="135"/>
    </row>
    <row r="327" ht="15.75" customHeight="1">
      <c r="A327" s="135"/>
      <c r="B327" s="135"/>
      <c r="C327" s="135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  <c r="Z327" s="135"/>
      <c r="AA327" s="135"/>
      <c r="AB327" s="135"/>
      <c r="AC327" s="135"/>
    </row>
    <row r="328" ht="15.75" customHeight="1">
      <c r="A328" s="135"/>
      <c r="B328" s="135"/>
      <c r="C328" s="135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5"/>
      <c r="AA328" s="135"/>
      <c r="AB328" s="135"/>
      <c r="AC328" s="135"/>
    </row>
    <row r="329" ht="15.75" customHeight="1">
      <c r="A329" s="135"/>
      <c r="B329" s="135"/>
      <c r="C329" s="135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  <c r="Z329" s="135"/>
      <c r="AA329" s="135"/>
      <c r="AB329" s="135"/>
      <c r="AC329" s="135"/>
    </row>
    <row r="330" ht="15.75" customHeight="1">
      <c r="A330" s="135"/>
      <c r="B330" s="135"/>
      <c r="C330" s="135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  <c r="Z330" s="135"/>
      <c r="AA330" s="135"/>
      <c r="AB330" s="135"/>
      <c r="AC330" s="135"/>
    </row>
    <row r="331" ht="15.75" customHeight="1">
      <c r="A331" s="135"/>
      <c r="B331" s="135"/>
      <c r="C331" s="135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  <c r="Z331" s="135"/>
      <c r="AA331" s="135"/>
      <c r="AB331" s="135"/>
      <c r="AC331" s="135"/>
    </row>
    <row r="332" ht="15.75" customHeight="1">
      <c r="A332" s="135"/>
      <c r="B332" s="135"/>
      <c r="C332" s="135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  <c r="Y332" s="135"/>
      <c r="Z332" s="135"/>
      <c r="AA332" s="135"/>
      <c r="AB332" s="135"/>
      <c r="AC332" s="135"/>
    </row>
    <row r="333" ht="15.75" customHeight="1">
      <c r="A333" s="135"/>
      <c r="B333" s="135"/>
      <c r="C333" s="135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  <c r="AA333" s="135"/>
      <c r="AB333" s="135"/>
      <c r="AC333" s="135"/>
    </row>
    <row r="334" ht="15.75" customHeight="1">
      <c r="A334" s="135"/>
      <c r="B334" s="135"/>
      <c r="C334" s="135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  <c r="Z334" s="135"/>
      <c r="AA334" s="135"/>
      <c r="AB334" s="135"/>
      <c r="AC334" s="135"/>
    </row>
    <row r="335" ht="15.75" customHeight="1">
      <c r="A335" s="135"/>
      <c r="B335" s="135"/>
      <c r="C335" s="135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  <c r="Z335" s="135"/>
      <c r="AA335" s="135"/>
      <c r="AB335" s="135"/>
      <c r="AC335" s="135"/>
    </row>
    <row r="336" ht="15.75" customHeight="1">
      <c r="A336" s="135"/>
      <c r="B336" s="135"/>
      <c r="C336" s="135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  <c r="Z336" s="135"/>
      <c r="AA336" s="135"/>
      <c r="AB336" s="135"/>
      <c r="AC336" s="135"/>
    </row>
    <row r="337" ht="15.75" customHeight="1">
      <c r="A337" s="135"/>
      <c r="B337" s="135"/>
      <c r="C337" s="135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  <c r="Z337" s="135"/>
      <c r="AA337" s="135"/>
      <c r="AB337" s="135"/>
      <c r="AC337" s="135"/>
    </row>
    <row r="338" ht="15.75" customHeight="1">
      <c r="A338" s="135"/>
      <c r="B338" s="135"/>
      <c r="C338" s="135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  <c r="Z338" s="135"/>
      <c r="AA338" s="135"/>
      <c r="AB338" s="135"/>
      <c r="AC338" s="135"/>
    </row>
    <row r="339" ht="15.75" customHeight="1">
      <c r="A339" s="135"/>
      <c r="B339" s="135"/>
      <c r="C339" s="135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  <c r="Z339" s="135"/>
      <c r="AA339" s="135"/>
      <c r="AB339" s="135"/>
      <c r="AC339" s="135"/>
    </row>
    <row r="340" ht="15.75" customHeight="1">
      <c r="A340" s="135"/>
      <c r="B340" s="135"/>
      <c r="C340" s="135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  <c r="Z340" s="135"/>
      <c r="AA340" s="135"/>
      <c r="AB340" s="135"/>
      <c r="AC340" s="135"/>
    </row>
    <row r="341" ht="15.75" customHeight="1">
      <c r="A341" s="135"/>
      <c r="B341" s="135"/>
      <c r="C341" s="135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  <c r="Z341" s="135"/>
      <c r="AA341" s="135"/>
      <c r="AB341" s="135"/>
      <c r="AC341" s="135"/>
    </row>
    <row r="342" ht="15.75" customHeight="1">
      <c r="A342" s="135"/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5"/>
      <c r="AA342" s="135"/>
      <c r="AB342" s="135"/>
      <c r="AC342" s="135"/>
    </row>
    <row r="343" ht="15.75" customHeight="1">
      <c r="A343" s="135"/>
      <c r="B343" s="135"/>
      <c r="C343" s="135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5"/>
      <c r="AA343" s="135"/>
      <c r="AB343" s="135"/>
      <c r="AC343" s="135"/>
    </row>
    <row r="344" ht="15.75" customHeight="1">
      <c r="A344" s="135"/>
      <c r="B344" s="135"/>
      <c r="C344" s="135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  <c r="Z344" s="135"/>
      <c r="AA344" s="135"/>
      <c r="AB344" s="135"/>
      <c r="AC344" s="135"/>
    </row>
    <row r="345" ht="15.75" customHeight="1">
      <c r="A345" s="135"/>
      <c r="B345" s="135"/>
      <c r="C345" s="135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5"/>
      <c r="AA345" s="135"/>
      <c r="AB345" s="135"/>
      <c r="AC345" s="135"/>
    </row>
    <row r="346" ht="15.75" customHeight="1">
      <c r="A346" s="135"/>
      <c r="B346" s="135"/>
      <c r="C346" s="135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  <c r="Y346" s="135"/>
      <c r="Z346" s="135"/>
      <c r="AA346" s="135"/>
      <c r="AB346" s="135"/>
      <c r="AC346" s="135"/>
    </row>
    <row r="347" ht="15.75" customHeight="1">
      <c r="A347" s="135"/>
      <c r="B347" s="135"/>
      <c r="C347" s="135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  <c r="AA347" s="135"/>
      <c r="AB347" s="135"/>
      <c r="AC347" s="135"/>
    </row>
    <row r="348" ht="15.75" customHeight="1">
      <c r="A348" s="135"/>
      <c r="B348" s="135"/>
      <c r="C348" s="135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  <c r="Z348" s="135"/>
      <c r="AA348" s="135"/>
      <c r="AB348" s="135"/>
      <c r="AC348" s="135"/>
    </row>
    <row r="349" ht="15.75" customHeight="1">
      <c r="A349" s="135"/>
      <c r="B349" s="135"/>
      <c r="C349" s="135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  <c r="Y349" s="135"/>
      <c r="Z349" s="135"/>
      <c r="AA349" s="135"/>
      <c r="AB349" s="135"/>
      <c r="AC349" s="135"/>
    </row>
    <row r="350" ht="15.75" customHeight="1">
      <c r="A350" s="135"/>
      <c r="B350" s="135"/>
      <c r="C350" s="135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  <c r="Y350" s="135"/>
      <c r="Z350" s="135"/>
      <c r="AA350" s="135"/>
      <c r="AB350" s="135"/>
      <c r="AC350" s="135"/>
    </row>
    <row r="351" ht="15.75" customHeight="1">
      <c r="A351" s="135"/>
      <c r="B351" s="135"/>
      <c r="C351" s="135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  <c r="Y351" s="135"/>
      <c r="Z351" s="135"/>
      <c r="AA351" s="135"/>
      <c r="AB351" s="135"/>
      <c r="AC351" s="135"/>
    </row>
    <row r="352" ht="15.75" customHeight="1">
      <c r="A352" s="135"/>
      <c r="B352" s="135"/>
      <c r="C352" s="135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  <c r="Y352" s="135"/>
      <c r="Z352" s="135"/>
      <c r="AA352" s="135"/>
      <c r="AB352" s="135"/>
      <c r="AC352" s="135"/>
    </row>
    <row r="353" ht="15.75" customHeight="1">
      <c r="A353" s="135"/>
      <c r="B353" s="135"/>
      <c r="C353" s="135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  <c r="Z353" s="135"/>
      <c r="AA353" s="135"/>
      <c r="AB353" s="135"/>
      <c r="AC353" s="135"/>
    </row>
    <row r="354" ht="15.75" customHeight="1">
      <c r="A354" s="135"/>
      <c r="B354" s="135"/>
      <c r="C354" s="135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  <c r="Z354" s="135"/>
      <c r="AA354" s="135"/>
      <c r="AB354" s="135"/>
      <c r="AC354" s="135"/>
    </row>
    <row r="355" ht="15.75" customHeight="1">
      <c r="A355" s="135"/>
      <c r="B355" s="135"/>
      <c r="C355" s="135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  <c r="Y355" s="135"/>
      <c r="Z355" s="135"/>
      <c r="AA355" s="135"/>
      <c r="AB355" s="135"/>
      <c r="AC355" s="135"/>
    </row>
    <row r="356" ht="15.75" customHeight="1">
      <c r="A356" s="135"/>
      <c r="B356" s="135"/>
      <c r="C356" s="135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  <c r="Z356" s="135"/>
      <c r="AA356" s="135"/>
      <c r="AB356" s="135"/>
      <c r="AC356" s="135"/>
    </row>
    <row r="357" ht="15.75" customHeight="1">
      <c r="A357" s="135"/>
      <c r="B357" s="135"/>
      <c r="C357" s="135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  <c r="Y357" s="135"/>
      <c r="Z357" s="135"/>
      <c r="AA357" s="135"/>
      <c r="AB357" s="135"/>
      <c r="AC357" s="135"/>
    </row>
    <row r="358" ht="15.75" customHeight="1">
      <c r="A358" s="135"/>
      <c r="B358" s="135"/>
      <c r="C358" s="135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  <c r="Y358" s="135"/>
      <c r="Z358" s="135"/>
      <c r="AA358" s="135"/>
      <c r="AB358" s="135"/>
      <c r="AC358" s="135"/>
    </row>
    <row r="359" ht="15.75" customHeight="1">
      <c r="A359" s="135"/>
      <c r="B359" s="135"/>
      <c r="C359" s="135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  <c r="Y359" s="135"/>
      <c r="Z359" s="135"/>
      <c r="AA359" s="135"/>
      <c r="AB359" s="135"/>
      <c r="AC359" s="135"/>
    </row>
    <row r="360" ht="15.75" customHeight="1">
      <c r="A360" s="135"/>
      <c r="B360" s="135"/>
      <c r="C360" s="135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  <c r="Y360" s="135"/>
      <c r="Z360" s="135"/>
      <c r="AA360" s="135"/>
      <c r="AB360" s="135"/>
      <c r="AC360" s="135"/>
    </row>
    <row r="361" ht="15.75" customHeight="1">
      <c r="A361" s="135"/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  <c r="Y361" s="135"/>
      <c r="Z361" s="135"/>
      <c r="AA361" s="135"/>
      <c r="AB361" s="135"/>
      <c r="AC361" s="135"/>
    </row>
    <row r="362" ht="15.75" customHeight="1">
      <c r="A362" s="135"/>
      <c r="B362" s="135"/>
      <c r="C362" s="135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  <c r="Z362" s="135"/>
      <c r="AA362" s="135"/>
      <c r="AB362" s="135"/>
      <c r="AC362" s="135"/>
    </row>
    <row r="363" ht="15.75" customHeight="1">
      <c r="A363" s="135"/>
      <c r="B363" s="135"/>
      <c r="C363" s="135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  <c r="Z363" s="135"/>
      <c r="AA363" s="135"/>
      <c r="AB363" s="135"/>
      <c r="AC363" s="135"/>
    </row>
    <row r="364" ht="15.75" customHeight="1">
      <c r="A364" s="135"/>
      <c r="B364" s="135"/>
      <c r="C364" s="135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  <c r="Y364" s="135"/>
      <c r="Z364" s="135"/>
      <c r="AA364" s="135"/>
      <c r="AB364" s="135"/>
      <c r="AC364" s="135"/>
    </row>
    <row r="365" ht="15.75" customHeight="1">
      <c r="A365" s="135"/>
      <c r="B365" s="135"/>
      <c r="C365" s="135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  <c r="AA365" s="135"/>
      <c r="AB365" s="135"/>
      <c r="AC365" s="135"/>
    </row>
    <row r="366" ht="15.75" customHeight="1">
      <c r="A366" s="135"/>
      <c r="B366" s="135"/>
      <c r="C366" s="135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  <c r="Y366" s="135"/>
      <c r="Z366" s="135"/>
      <c r="AA366" s="135"/>
      <c r="AB366" s="135"/>
      <c r="AC366" s="135"/>
    </row>
    <row r="367" ht="15.75" customHeight="1">
      <c r="A367" s="135"/>
      <c r="B367" s="135"/>
      <c r="C367" s="135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  <c r="Z367" s="135"/>
      <c r="AA367" s="135"/>
      <c r="AB367" s="135"/>
      <c r="AC367" s="135"/>
    </row>
    <row r="368" ht="15.75" customHeight="1">
      <c r="A368" s="135"/>
      <c r="B368" s="135"/>
      <c r="C368" s="135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  <c r="Z368" s="135"/>
      <c r="AA368" s="135"/>
      <c r="AB368" s="135"/>
      <c r="AC368" s="135"/>
    </row>
    <row r="369" ht="15.75" customHeight="1">
      <c r="A369" s="135"/>
      <c r="B369" s="135"/>
      <c r="C369" s="135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  <c r="Z369" s="135"/>
      <c r="AA369" s="135"/>
      <c r="AB369" s="135"/>
      <c r="AC369" s="135"/>
    </row>
    <row r="370" ht="15.75" customHeight="1">
      <c r="A370" s="135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</row>
    <row r="371" ht="15.75" customHeight="1">
      <c r="A371" s="135"/>
      <c r="B371" s="135"/>
      <c r="C371" s="135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  <c r="Z371" s="135"/>
      <c r="AA371" s="135"/>
      <c r="AB371" s="135"/>
      <c r="AC371" s="135"/>
    </row>
    <row r="372" ht="15.75" customHeight="1">
      <c r="A372" s="135"/>
      <c r="B372" s="135"/>
      <c r="C372" s="13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  <c r="Z372" s="135"/>
      <c r="AA372" s="135"/>
      <c r="AB372" s="135"/>
      <c r="AC372" s="135"/>
    </row>
    <row r="373" ht="15.75" customHeight="1">
      <c r="A373" s="135"/>
      <c r="B373" s="135"/>
      <c r="C373" s="135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  <c r="Z373" s="135"/>
      <c r="AA373" s="135"/>
      <c r="AB373" s="135"/>
      <c r="AC373" s="135"/>
    </row>
    <row r="374" ht="15.75" customHeight="1">
      <c r="A374" s="135"/>
      <c r="B374" s="135"/>
      <c r="C374" s="135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  <c r="Y374" s="135"/>
      <c r="Z374" s="135"/>
      <c r="AA374" s="135"/>
      <c r="AB374" s="135"/>
      <c r="AC374" s="135"/>
    </row>
    <row r="375" ht="15.75" customHeight="1">
      <c r="A375" s="135"/>
      <c r="B375" s="135"/>
      <c r="C375" s="135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  <c r="Y375" s="135"/>
      <c r="Z375" s="135"/>
      <c r="AA375" s="135"/>
      <c r="AB375" s="135"/>
      <c r="AC375" s="135"/>
    </row>
    <row r="376" ht="15.75" customHeight="1">
      <c r="A376" s="135"/>
      <c r="B376" s="135"/>
      <c r="C376" s="135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  <c r="Y376" s="135"/>
      <c r="Z376" s="135"/>
      <c r="AA376" s="135"/>
      <c r="AB376" s="135"/>
      <c r="AC376" s="135"/>
    </row>
    <row r="377" ht="15.75" customHeight="1">
      <c r="A377" s="135"/>
      <c r="B377" s="135"/>
      <c r="C377" s="135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  <c r="Y377" s="135"/>
      <c r="Z377" s="135"/>
      <c r="AA377" s="135"/>
      <c r="AB377" s="135"/>
      <c r="AC377" s="135"/>
    </row>
    <row r="378" ht="15.75" customHeight="1">
      <c r="A378" s="135"/>
      <c r="B378" s="135"/>
      <c r="C378" s="135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  <c r="Y378" s="135"/>
      <c r="Z378" s="135"/>
      <c r="AA378" s="135"/>
      <c r="AB378" s="135"/>
      <c r="AC378" s="135"/>
    </row>
    <row r="379" ht="15.75" customHeight="1">
      <c r="A379" s="135"/>
      <c r="B379" s="135"/>
      <c r="C379" s="135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  <c r="Y379" s="135"/>
      <c r="Z379" s="135"/>
      <c r="AA379" s="135"/>
      <c r="AB379" s="135"/>
      <c r="AC379" s="135"/>
    </row>
    <row r="380" ht="15.75" customHeight="1">
      <c r="A380" s="135"/>
      <c r="B380" s="135"/>
      <c r="C380" s="135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  <c r="Y380" s="135"/>
      <c r="Z380" s="135"/>
      <c r="AA380" s="135"/>
      <c r="AB380" s="135"/>
      <c r="AC380" s="135"/>
    </row>
    <row r="381" ht="15.75" customHeight="1">
      <c r="A381" s="135"/>
      <c r="B381" s="135"/>
      <c r="C381" s="135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  <c r="Z381" s="135"/>
      <c r="AA381" s="135"/>
      <c r="AB381" s="135"/>
      <c r="AC381" s="135"/>
    </row>
    <row r="382" ht="15.75" customHeight="1">
      <c r="A382" s="135"/>
      <c r="B382" s="135"/>
      <c r="C382" s="135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  <c r="Z382" s="135"/>
      <c r="AA382" s="135"/>
      <c r="AB382" s="135"/>
      <c r="AC382" s="135"/>
    </row>
    <row r="383" ht="15.75" customHeight="1">
      <c r="A383" s="135"/>
      <c r="B383" s="135"/>
      <c r="C383" s="135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  <c r="Y383" s="135"/>
      <c r="Z383" s="135"/>
      <c r="AA383" s="135"/>
      <c r="AB383" s="135"/>
      <c r="AC383" s="135"/>
    </row>
    <row r="384" ht="15.75" customHeight="1">
      <c r="A384" s="135"/>
      <c r="B384" s="135"/>
      <c r="C384" s="135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  <c r="Z384" s="135"/>
      <c r="AA384" s="135"/>
      <c r="AB384" s="135"/>
      <c r="AC384" s="135"/>
    </row>
    <row r="385" ht="15.75" customHeight="1">
      <c r="A385" s="135"/>
      <c r="B385" s="135"/>
      <c r="C385" s="135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  <c r="Z385" s="135"/>
      <c r="AA385" s="135"/>
      <c r="AB385" s="135"/>
      <c r="AC385" s="135"/>
    </row>
    <row r="386" ht="15.75" customHeight="1">
      <c r="A386" s="135"/>
      <c r="B386" s="135"/>
      <c r="C386" s="135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  <c r="Z386" s="135"/>
      <c r="AA386" s="135"/>
      <c r="AB386" s="135"/>
      <c r="AC386" s="135"/>
    </row>
    <row r="387" ht="15.75" customHeight="1">
      <c r="A387" s="135"/>
      <c r="B387" s="135"/>
      <c r="C387" s="135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  <c r="Z387" s="135"/>
      <c r="AA387" s="135"/>
      <c r="AB387" s="135"/>
      <c r="AC387" s="135"/>
    </row>
    <row r="388" ht="15.75" customHeight="1">
      <c r="A388" s="135"/>
      <c r="B388" s="135"/>
      <c r="C388" s="135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  <c r="Z388" s="135"/>
      <c r="AA388" s="135"/>
      <c r="AB388" s="135"/>
      <c r="AC388" s="135"/>
    </row>
    <row r="389" ht="15.75" customHeight="1">
      <c r="A389" s="135"/>
      <c r="B389" s="135"/>
      <c r="C389" s="135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  <c r="Y389" s="135"/>
      <c r="Z389" s="135"/>
      <c r="AA389" s="135"/>
      <c r="AB389" s="135"/>
      <c r="AC389" s="135"/>
    </row>
    <row r="390" ht="15.75" customHeight="1">
      <c r="A390" s="135"/>
      <c r="B390" s="135"/>
      <c r="C390" s="135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  <c r="Y390" s="135"/>
      <c r="Z390" s="135"/>
      <c r="AA390" s="135"/>
      <c r="AB390" s="135"/>
      <c r="AC390" s="135"/>
    </row>
    <row r="391" ht="15.75" customHeight="1">
      <c r="A391" s="135"/>
      <c r="B391" s="135"/>
      <c r="C391" s="135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  <c r="Z391" s="135"/>
      <c r="AA391" s="135"/>
      <c r="AB391" s="135"/>
      <c r="AC391" s="135"/>
    </row>
    <row r="392" ht="15.75" customHeight="1">
      <c r="A392" s="135"/>
      <c r="B392" s="135"/>
      <c r="C392" s="135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  <c r="Z392" s="135"/>
      <c r="AA392" s="135"/>
      <c r="AB392" s="135"/>
      <c r="AC392" s="135"/>
    </row>
    <row r="393" ht="15.75" customHeight="1">
      <c r="A393" s="135"/>
      <c r="B393" s="135"/>
      <c r="C393" s="135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  <c r="Y393" s="135"/>
      <c r="Z393" s="135"/>
      <c r="AA393" s="135"/>
      <c r="AB393" s="135"/>
      <c r="AC393" s="135"/>
    </row>
    <row r="394" ht="15.75" customHeight="1">
      <c r="A394" s="135"/>
      <c r="B394" s="135"/>
      <c r="C394" s="135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  <c r="Y394" s="135"/>
      <c r="Z394" s="135"/>
      <c r="AA394" s="135"/>
      <c r="AB394" s="135"/>
      <c r="AC394" s="135"/>
    </row>
    <row r="395" ht="15.75" customHeight="1">
      <c r="A395" s="135"/>
      <c r="B395" s="135"/>
      <c r="C395" s="135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  <c r="AA395" s="135"/>
      <c r="AB395" s="135"/>
      <c r="AC395" s="135"/>
    </row>
    <row r="396" ht="15.75" customHeight="1">
      <c r="A396" s="135"/>
      <c r="B396" s="135"/>
      <c r="C396" s="135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  <c r="Z396" s="135"/>
      <c r="AA396" s="135"/>
      <c r="AB396" s="135"/>
      <c r="AC396" s="135"/>
    </row>
    <row r="397" ht="15.75" customHeight="1">
      <c r="A397" s="135"/>
      <c r="B397" s="135"/>
      <c r="C397" s="135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  <c r="Z397" s="135"/>
      <c r="AA397" s="135"/>
      <c r="AB397" s="135"/>
      <c r="AC397" s="135"/>
    </row>
    <row r="398" ht="15.75" customHeight="1">
      <c r="A398" s="135"/>
      <c r="B398" s="135"/>
      <c r="C398" s="135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  <c r="Z398" s="135"/>
      <c r="AA398" s="135"/>
      <c r="AB398" s="135"/>
      <c r="AC398" s="135"/>
    </row>
    <row r="399" ht="15.75" customHeight="1">
      <c r="A399" s="135"/>
      <c r="B399" s="135"/>
      <c r="C399" s="135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  <c r="Y399" s="135"/>
      <c r="Z399" s="135"/>
      <c r="AA399" s="135"/>
      <c r="AB399" s="135"/>
      <c r="AC399" s="135"/>
    </row>
    <row r="400" ht="15.75" customHeight="1">
      <c r="A400" s="135"/>
      <c r="B400" s="135"/>
      <c r="C400" s="135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  <c r="Y400" s="135"/>
      <c r="Z400" s="135"/>
      <c r="AA400" s="135"/>
      <c r="AB400" s="135"/>
      <c r="AC400" s="135"/>
    </row>
    <row r="401" ht="15.75" customHeight="1">
      <c r="A401" s="135"/>
      <c r="B401" s="135"/>
      <c r="C401" s="135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  <c r="Z401" s="135"/>
      <c r="AA401" s="135"/>
      <c r="AB401" s="135"/>
      <c r="AC401" s="135"/>
    </row>
    <row r="402" ht="15.75" customHeight="1">
      <c r="A402" s="135"/>
      <c r="B402" s="135"/>
      <c r="C402" s="135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  <c r="Y402" s="135"/>
      <c r="Z402" s="135"/>
      <c r="AA402" s="135"/>
      <c r="AB402" s="135"/>
      <c r="AC402" s="135"/>
    </row>
    <row r="403" ht="15.75" customHeight="1">
      <c r="A403" s="135"/>
      <c r="B403" s="135"/>
      <c r="C403" s="135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  <c r="Y403" s="135"/>
      <c r="Z403" s="135"/>
      <c r="AA403" s="135"/>
      <c r="AB403" s="135"/>
      <c r="AC403" s="135"/>
    </row>
    <row r="404" ht="15.75" customHeight="1">
      <c r="A404" s="135"/>
      <c r="B404" s="135"/>
      <c r="C404" s="135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  <c r="Z404" s="135"/>
      <c r="AA404" s="135"/>
      <c r="AB404" s="135"/>
      <c r="AC404" s="135"/>
    </row>
    <row r="405" ht="15.75" customHeight="1">
      <c r="A405" s="135"/>
      <c r="B405" s="135"/>
      <c r="C405" s="135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  <c r="Z405" s="135"/>
      <c r="AA405" s="135"/>
      <c r="AB405" s="135"/>
      <c r="AC405" s="135"/>
    </row>
    <row r="406" ht="15.75" customHeight="1">
      <c r="A406" s="135"/>
      <c r="B406" s="135"/>
      <c r="C406" s="135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  <c r="Y406" s="135"/>
      <c r="Z406" s="135"/>
      <c r="AA406" s="135"/>
      <c r="AB406" s="135"/>
      <c r="AC406" s="135"/>
    </row>
    <row r="407" ht="15.75" customHeight="1">
      <c r="A407" s="135"/>
      <c r="B407" s="135"/>
      <c r="C407" s="135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  <c r="Z407" s="135"/>
      <c r="AA407" s="135"/>
      <c r="AB407" s="135"/>
      <c r="AC407" s="135"/>
    </row>
    <row r="408" ht="15.75" customHeight="1">
      <c r="A408" s="135"/>
      <c r="B408" s="135"/>
      <c r="C408" s="135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  <c r="AA408" s="135"/>
      <c r="AB408" s="135"/>
      <c r="AC408" s="135"/>
    </row>
    <row r="409" ht="15.75" customHeight="1">
      <c r="A409" s="135"/>
      <c r="B409" s="135"/>
      <c r="C409" s="135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  <c r="Y409" s="135"/>
      <c r="Z409" s="135"/>
      <c r="AA409" s="135"/>
      <c r="AB409" s="135"/>
      <c r="AC409" s="135"/>
    </row>
    <row r="410" ht="15.75" customHeight="1">
      <c r="A410" s="135"/>
      <c r="B410" s="135"/>
      <c r="C410" s="135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  <c r="Y410" s="135"/>
      <c r="Z410" s="135"/>
      <c r="AA410" s="135"/>
      <c r="AB410" s="135"/>
      <c r="AC410" s="135"/>
    </row>
    <row r="411" ht="15.75" customHeight="1">
      <c r="A411" s="135"/>
      <c r="B411" s="135"/>
      <c r="C411" s="135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  <c r="Y411" s="135"/>
      <c r="Z411" s="135"/>
      <c r="AA411" s="135"/>
      <c r="AB411" s="135"/>
      <c r="AC411" s="135"/>
    </row>
    <row r="412" ht="15.75" customHeight="1">
      <c r="A412" s="135"/>
      <c r="B412" s="135"/>
      <c r="C412" s="135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  <c r="Y412" s="135"/>
      <c r="Z412" s="135"/>
      <c r="AA412" s="135"/>
      <c r="AB412" s="135"/>
      <c r="AC412" s="135"/>
    </row>
    <row r="413" ht="15.75" customHeight="1">
      <c r="A413" s="135"/>
      <c r="B413" s="135"/>
      <c r="C413" s="135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  <c r="Y413" s="135"/>
      <c r="Z413" s="135"/>
      <c r="AA413" s="135"/>
      <c r="AB413" s="135"/>
      <c r="AC413" s="135"/>
    </row>
    <row r="414" ht="15.75" customHeight="1">
      <c r="A414" s="135"/>
      <c r="B414" s="135"/>
      <c r="C414" s="135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  <c r="Y414" s="135"/>
      <c r="Z414" s="135"/>
      <c r="AA414" s="135"/>
      <c r="AB414" s="135"/>
      <c r="AC414" s="135"/>
    </row>
    <row r="415" ht="15.75" customHeight="1">
      <c r="A415" s="135"/>
      <c r="B415" s="135"/>
      <c r="C415" s="135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  <c r="Y415" s="135"/>
      <c r="Z415" s="135"/>
      <c r="AA415" s="135"/>
      <c r="AB415" s="135"/>
      <c r="AC415" s="135"/>
    </row>
    <row r="416" ht="15.75" customHeight="1">
      <c r="A416" s="135"/>
      <c r="B416" s="135"/>
      <c r="C416" s="135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  <c r="Y416" s="135"/>
      <c r="Z416" s="135"/>
      <c r="AA416" s="135"/>
      <c r="AB416" s="135"/>
      <c r="AC416" s="135"/>
    </row>
    <row r="417" ht="15.75" customHeight="1">
      <c r="A417" s="135"/>
      <c r="B417" s="135"/>
      <c r="C417" s="135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  <c r="Y417" s="135"/>
      <c r="Z417" s="135"/>
      <c r="AA417" s="135"/>
      <c r="AB417" s="135"/>
      <c r="AC417" s="135"/>
    </row>
    <row r="418" ht="15.75" customHeight="1">
      <c r="A418" s="135"/>
      <c r="B418" s="135"/>
      <c r="C418" s="135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  <c r="Z418" s="135"/>
      <c r="AA418" s="135"/>
      <c r="AB418" s="135"/>
      <c r="AC418" s="135"/>
    </row>
    <row r="419" ht="15.75" customHeight="1">
      <c r="A419" s="135"/>
      <c r="B419" s="135"/>
      <c r="C419" s="135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  <c r="AA419" s="135"/>
      <c r="AB419" s="135"/>
      <c r="AC419" s="135"/>
    </row>
    <row r="420" ht="15.75" customHeight="1">
      <c r="A420" s="135"/>
      <c r="B420" s="135"/>
      <c r="C420" s="135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  <c r="AA420" s="135"/>
      <c r="AB420" s="135"/>
      <c r="AC420" s="135"/>
    </row>
    <row r="421" ht="15.75" customHeight="1">
      <c r="A421" s="135"/>
      <c r="B421" s="135"/>
      <c r="C421" s="135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  <c r="AA421" s="135"/>
      <c r="AB421" s="135"/>
      <c r="AC421" s="135"/>
    </row>
    <row r="422" ht="15.75" customHeight="1">
      <c r="A422" s="135"/>
      <c r="B422" s="135"/>
      <c r="C422" s="135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  <c r="AA422" s="135"/>
      <c r="AB422" s="135"/>
      <c r="AC422" s="135"/>
    </row>
    <row r="423" ht="15.75" customHeight="1">
      <c r="A423" s="135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</row>
    <row r="424" ht="15.75" customHeight="1">
      <c r="A424" s="135"/>
      <c r="B424" s="135"/>
      <c r="C424" s="135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  <c r="Y424" s="135"/>
      <c r="Z424" s="135"/>
      <c r="AA424" s="135"/>
      <c r="AB424" s="135"/>
      <c r="AC424" s="135"/>
    </row>
    <row r="425" ht="15.75" customHeight="1">
      <c r="A425" s="135"/>
      <c r="B425" s="135"/>
      <c r="C425" s="135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  <c r="Z425" s="135"/>
      <c r="AA425" s="135"/>
      <c r="AB425" s="135"/>
      <c r="AC425" s="135"/>
    </row>
    <row r="426" ht="15.75" customHeight="1">
      <c r="A426" s="135"/>
      <c r="B426" s="135"/>
      <c r="C426" s="135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  <c r="Y426" s="135"/>
      <c r="Z426" s="135"/>
      <c r="AA426" s="135"/>
      <c r="AB426" s="135"/>
      <c r="AC426" s="135"/>
    </row>
    <row r="427" ht="15.75" customHeight="1">
      <c r="A427" s="135"/>
      <c r="B427" s="135"/>
      <c r="C427" s="135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  <c r="Y427" s="135"/>
      <c r="Z427" s="135"/>
      <c r="AA427" s="135"/>
      <c r="AB427" s="135"/>
      <c r="AC427" s="135"/>
    </row>
    <row r="428" ht="15.75" customHeight="1">
      <c r="A428" s="135"/>
      <c r="B428" s="135"/>
      <c r="C428" s="135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  <c r="Y428" s="135"/>
      <c r="Z428" s="135"/>
      <c r="AA428" s="135"/>
      <c r="AB428" s="135"/>
      <c r="AC428" s="135"/>
    </row>
    <row r="429" ht="15.75" customHeight="1">
      <c r="A429" s="135"/>
      <c r="B429" s="135"/>
      <c r="C429" s="135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  <c r="Y429" s="135"/>
      <c r="Z429" s="135"/>
      <c r="AA429" s="135"/>
      <c r="AB429" s="135"/>
      <c r="AC429" s="135"/>
    </row>
    <row r="430" ht="15.75" customHeight="1">
      <c r="A430" s="135"/>
      <c r="B430" s="135"/>
      <c r="C430" s="135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  <c r="Y430" s="135"/>
      <c r="Z430" s="135"/>
      <c r="AA430" s="135"/>
      <c r="AB430" s="135"/>
      <c r="AC430" s="135"/>
    </row>
    <row r="431" ht="15.75" customHeight="1">
      <c r="A431" s="135"/>
      <c r="B431" s="135"/>
      <c r="C431" s="135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  <c r="Y431" s="135"/>
      <c r="Z431" s="135"/>
      <c r="AA431" s="135"/>
      <c r="AB431" s="135"/>
      <c r="AC431" s="135"/>
    </row>
    <row r="432" ht="15.75" customHeight="1">
      <c r="A432" s="135"/>
      <c r="B432" s="135"/>
      <c r="C432" s="135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  <c r="Y432" s="135"/>
      <c r="Z432" s="135"/>
      <c r="AA432" s="135"/>
      <c r="AB432" s="135"/>
      <c r="AC432" s="135"/>
    </row>
    <row r="433" ht="15.75" customHeight="1">
      <c r="A433" s="135"/>
      <c r="B433" s="135"/>
      <c r="C433" s="135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  <c r="Y433" s="135"/>
      <c r="Z433" s="135"/>
      <c r="AA433" s="135"/>
      <c r="AB433" s="135"/>
      <c r="AC433" s="135"/>
    </row>
    <row r="434" ht="15.75" customHeight="1">
      <c r="A434" s="135"/>
      <c r="B434" s="135"/>
      <c r="C434" s="135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  <c r="Y434" s="135"/>
      <c r="Z434" s="135"/>
      <c r="AA434" s="135"/>
      <c r="AB434" s="135"/>
      <c r="AC434" s="135"/>
    </row>
    <row r="435" ht="15.75" customHeight="1">
      <c r="A435" s="135"/>
      <c r="B435" s="135"/>
      <c r="C435" s="135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  <c r="Y435" s="135"/>
      <c r="Z435" s="135"/>
      <c r="AA435" s="135"/>
      <c r="AB435" s="135"/>
      <c r="AC435" s="135"/>
    </row>
    <row r="436" ht="15.75" customHeight="1">
      <c r="A436" s="135"/>
      <c r="B436" s="135"/>
      <c r="C436" s="135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  <c r="Y436" s="135"/>
      <c r="Z436" s="135"/>
      <c r="AA436" s="135"/>
      <c r="AB436" s="135"/>
      <c r="AC436" s="135"/>
    </row>
    <row r="437" ht="15.75" customHeight="1">
      <c r="A437" s="135"/>
      <c r="B437" s="135"/>
      <c r="C437" s="135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  <c r="Y437" s="135"/>
      <c r="Z437" s="135"/>
      <c r="AA437" s="135"/>
      <c r="AB437" s="135"/>
      <c r="AC437" s="135"/>
    </row>
    <row r="438" ht="15.75" customHeight="1">
      <c r="A438" s="135"/>
      <c r="B438" s="135"/>
      <c r="C438" s="135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  <c r="Y438" s="135"/>
      <c r="Z438" s="135"/>
      <c r="AA438" s="135"/>
      <c r="AB438" s="135"/>
      <c r="AC438" s="135"/>
    </row>
    <row r="439" ht="15.75" customHeight="1">
      <c r="A439" s="135"/>
      <c r="B439" s="135"/>
      <c r="C439" s="135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  <c r="Y439" s="135"/>
      <c r="Z439" s="135"/>
      <c r="AA439" s="135"/>
      <c r="AB439" s="135"/>
      <c r="AC439" s="135"/>
    </row>
    <row r="440" ht="15.75" customHeight="1">
      <c r="A440" s="135"/>
      <c r="B440" s="135"/>
      <c r="C440" s="135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  <c r="Y440" s="135"/>
      <c r="Z440" s="135"/>
      <c r="AA440" s="135"/>
      <c r="AB440" s="135"/>
      <c r="AC440" s="135"/>
    </row>
    <row r="441" ht="15.75" customHeight="1">
      <c r="A441" s="135"/>
      <c r="B441" s="135"/>
      <c r="C441" s="135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  <c r="Y441" s="135"/>
      <c r="Z441" s="135"/>
      <c r="AA441" s="135"/>
      <c r="AB441" s="135"/>
      <c r="AC441" s="135"/>
    </row>
    <row r="442" ht="15.75" customHeight="1">
      <c r="A442" s="135"/>
      <c r="B442" s="135"/>
      <c r="C442" s="135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  <c r="Z442" s="135"/>
      <c r="AA442" s="135"/>
      <c r="AB442" s="135"/>
      <c r="AC442" s="135"/>
    </row>
    <row r="443" ht="15.75" customHeight="1">
      <c r="A443" s="135"/>
      <c r="B443" s="135"/>
      <c r="C443" s="135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  <c r="Z443" s="135"/>
      <c r="AA443" s="135"/>
      <c r="AB443" s="135"/>
      <c r="AC443" s="135"/>
    </row>
    <row r="444" ht="15.75" customHeight="1">
      <c r="A444" s="135"/>
      <c r="B444" s="135"/>
      <c r="C444" s="135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  <c r="Y444" s="135"/>
      <c r="Z444" s="135"/>
      <c r="AA444" s="135"/>
      <c r="AB444" s="135"/>
      <c r="AC444" s="135"/>
    </row>
    <row r="445" ht="15.75" customHeight="1">
      <c r="A445" s="135"/>
      <c r="B445" s="135"/>
      <c r="C445" s="135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  <c r="Z445" s="135"/>
      <c r="AA445" s="135"/>
      <c r="AB445" s="135"/>
      <c r="AC445" s="135"/>
    </row>
    <row r="446" ht="15.75" customHeight="1">
      <c r="A446" s="135"/>
      <c r="B446" s="135"/>
      <c r="C446" s="135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  <c r="Z446" s="135"/>
      <c r="AA446" s="135"/>
      <c r="AB446" s="135"/>
      <c r="AC446" s="135"/>
    </row>
    <row r="447" ht="15.75" customHeight="1">
      <c r="A447" s="135"/>
      <c r="B447" s="135"/>
      <c r="C447" s="135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  <c r="Y447" s="135"/>
      <c r="Z447" s="135"/>
      <c r="AA447" s="135"/>
      <c r="AB447" s="135"/>
      <c r="AC447" s="135"/>
    </row>
    <row r="448" ht="15.75" customHeight="1">
      <c r="A448" s="135"/>
      <c r="B448" s="135"/>
      <c r="C448" s="135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  <c r="Y448" s="135"/>
      <c r="Z448" s="135"/>
      <c r="AA448" s="135"/>
      <c r="AB448" s="135"/>
      <c r="AC448" s="135"/>
    </row>
    <row r="449" ht="15.75" customHeight="1">
      <c r="A449" s="135"/>
      <c r="B449" s="135"/>
      <c r="C449" s="135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  <c r="Y449" s="135"/>
      <c r="Z449" s="135"/>
      <c r="AA449" s="135"/>
      <c r="AB449" s="135"/>
      <c r="AC449" s="135"/>
    </row>
    <row r="450" ht="15.75" customHeight="1">
      <c r="A450" s="135"/>
      <c r="B450" s="135"/>
      <c r="C450" s="135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  <c r="Y450" s="135"/>
      <c r="Z450" s="135"/>
      <c r="AA450" s="135"/>
      <c r="AB450" s="135"/>
      <c r="AC450" s="135"/>
    </row>
    <row r="451" ht="15.75" customHeight="1">
      <c r="A451" s="135"/>
      <c r="B451" s="135"/>
      <c r="C451" s="135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  <c r="Y451" s="135"/>
      <c r="Z451" s="135"/>
      <c r="AA451" s="135"/>
      <c r="AB451" s="135"/>
      <c r="AC451" s="135"/>
    </row>
    <row r="452" ht="15.75" customHeight="1">
      <c r="A452" s="135"/>
      <c r="B452" s="135"/>
      <c r="C452" s="135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  <c r="Y452" s="135"/>
      <c r="Z452" s="135"/>
      <c r="AA452" s="135"/>
      <c r="AB452" s="135"/>
      <c r="AC452" s="135"/>
    </row>
    <row r="453" ht="15.75" customHeight="1">
      <c r="A453" s="135"/>
      <c r="B453" s="135"/>
      <c r="C453" s="135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  <c r="Y453" s="135"/>
      <c r="Z453" s="135"/>
      <c r="AA453" s="135"/>
      <c r="AB453" s="135"/>
      <c r="AC453" s="135"/>
    </row>
    <row r="454" ht="15.75" customHeight="1">
      <c r="A454" s="135"/>
      <c r="B454" s="135"/>
      <c r="C454" s="135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  <c r="Y454" s="135"/>
      <c r="Z454" s="135"/>
      <c r="AA454" s="135"/>
      <c r="AB454" s="135"/>
      <c r="AC454" s="135"/>
    </row>
    <row r="455" ht="15.75" customHeight="1">
      <c r="A455" s="135"/>
      <c r="B455" s="135"/>
      <c r="C455" s="135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  <c r="Y455" s="135"/>
      <c r="Z455" s="135"/>
      <c r="AA455" s="135"/>
      <c r="AB455" s="135"/>
      <c r="AC455" s="135"/>
    </row>
    <row r="456" ht="15.75" customHeight="1">
      <c r="A456" s="135"/>
      <c r="B456" s="135"/>
      <c r="C456" s="135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  <c r="Y456" s="135"/>
      <c r="Z456" s="135"/>
      <c r="AA456" s="135"/>
      <c r="AB456" s="135"/>
      <c r="AC456" s="135"/>
    </row>
    <row r="457" ht="15.75" customHeight="1">
      <c r="A457" s="135"/>
      <c r="B457" s="135"/>
      <c r="C457" s="135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  <c r="Y457" s="135"/>
      <c r="Z457" s="135"/>
      <c r="AA457" s="135"/>
      <c r="AB457" s="135"/>
      <c r="AC457" s="135"/>
    </row>
    <row r="458" ht="15.75" customHeight="1">
      <c r="A458" s="135"/>
      <c r="B458" s="135"/>
      <c r="C458" s="135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  <c r="Y458" s="135"/>
      <c r="Z458" s="135"/>
      <c r="AA458" s="135"/>
      <c r="AB458" s="135"/>
      <c r="AC458" s="135"/>
    </row>
    <row r="459" ht="15.75" customHeight="1">
      <c r="A459" s="135"/>
      <c r="B459" s="135"/>
      <c r="C459" s="135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  <c r="Y459" s="135"/>
      <c r="Z459" s="135"/>
      <c r="AA459" s="135"/>
      <c r="AB459" s="135"/>
      <c r="AC459" s="135"/>
    </row>
    <row r="460" ht="15.75" customHeight="1">
      <c r="A460" s="135"/>
      <c r="B460" s="135"/>
      <c r="C460" s="135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  <c r="Y460" s="135"/>
      <c r="Z460" s="135"/>
      <c r="AA460" s="135"/>
      <c r="AB460" s="135"/>
      <c r="AC460" s="135"/>
    </row>
    <row r="461" ht="15.75" customHeight="1">
      <c r="A461" s="135"/>
      <c r="B461" s="135"/>
      <c r="C461" s="135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  <c r="Y461" s="135"/>
      <c r="Z461" s="135"/>
      <c r="AA461" s="135"/>
      <c r="AB461" s="135"/>
      <c r="AC461" s="135"/>
    </row>
    <row r="462" ht="15.75" customHeight="1">
      <c r="A462" s="135"/>
      <c r="B462" s="135"/>
      <c r="C462" s="135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  <c r="Y462" s="135"/>
      <c r="Z462" s="135"/>
      <c r="AA462" s="135"/>
      <c r="AB462" s="135"/>
      <c r="AC462" s="135"/>
    </row>
    <row r="463" ht="15.75" customHeight="1">
      <c r="A463" s="135"/>
      <c r="B463" s="135"/>
      <c r="C463" s="135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  <c r="Y463" s="135"/>
      <c r="Z463" s="135"/>
      <c r="AA463" s="135"/>
      <c r="AB463" s="135"/>
      <c r="AC463" s="135"/>
    </row>
    <row r="464" ht="15.75" customHeight="1">
      <c r="A464" s="135"/>
      <c r="B464" s="135"/>
      <c r="C464" s="135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  <c r="Y464" s="135"/>
      <c r="Z464" s="135"/>
      <c r="AA464" s="135"/>
      <c r="AB464" s="135"/>
      <c r="AC464" s="135"/>
    </row>
    <row r="465" ht="15.75" customHeight="1">
      <c r="A465" s="135"/>
      <c r="B465" s="135"/>
      <c r="C465" s="135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  <c r="Z465" s="135"/>
      <c r="AA465" s="135"/>
      <c r="AB465" s="135"/>
      <c r="AC465" s="135"/>
    </row>
    <row r="466" ht="15.75" customHeight="1">
      <c r="A466" s="135"/>
      <c r="B466" s="135"/>
      <c r="C466" s="135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  <c r="Z466" s="135"/>
      <c r="AA466" s="135"/>
      <c r="AB466" s="135"/>
      <c r="AC466" s="135"/>
    </row>
    <row r="467" ht="15.75" customHeight="1">
      <c r="A467" s="135"/>
      <c r="B467" s="135"/>
      <c r="C467" s="135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  <c r="Y467" s="135"/>
      <c r="Z467" s="135"/>
      <c r="AA467" s="135"/>
      <c r="AB467" s="135"/>
      <c r="AC467" s="135"/>
    </row>
    <row r="468" ht="15.75" customHeight="1">
      <c r="A468" s="135"/>
      <c r="B468" s="135"/>
      <c r="C468" s="135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  <c r="Z468" s="135"/>
      <c r="AA468" s="135"/>
      <c r="AB468" s="135"/>
      <c r="AC468" s="135"/>
    </row>
    <row r="469" ht="15.75" customHeight="1">
      <c r="A469" s="135"/>
      <c r="B469" s="135"/>
      <c r="C469" s="135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  <c r="Y469" s="135"/>
      <c r="Z469" s="135"/>
      <c r="AA469" s="135"/>
      <c r="AB469" s="135"/>
      <c r="AC469" s="135"/>
    </row>
    <row r="470" ht="15.75" customHeight="1">
      <c r="A470" s="135"/>
      <c r="B470" s="135"/>
      <c r="C470" s="135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  <c r="Z470" s="135"/>
      <c r="AA470" s="135"/>
      <c r="AB470" s="135"/>
      <c r="AC470" s="135"/>
    </row>
    <row r="471" ht="15.75" customHeight="1">
      <c r="A471" s="135"/>
      <c r="B471" s="135"/>
      <c r="C471" s="135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  <c r="Y471" s="135"/>
      <c r="Z471" s="135"/>
      <c r="AA471" s="135"/>
      <c r="AB471" s="135"/>
      <c r="AC471" s="135"/>
    </row>
    <row r="472" ht="15.75" customHeight="1">
      <c r="A472" s="135"/>
      <c r="B472" s="135"/>
      <c r="C472" s="135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  <c r="Y472" s="135"/>
      <c r="Z472" s="135"/>
      <c r="AA472" s="135"/>
      <c r="AB472" s="135"/>
      <c r="AC472" s="135"/>
    </row>
    <row r="473" ht="15.75" customHeight="1">
      <c r="A473" s="135"/>
      <c r="B473" s="135"/>
      <c r="C473" s="135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  <c r="Y473" s="135"/>
      <c r="Z473" s="135"/>
      <c r="AA473" s="135"/>
      <c r="AB473" s="135"/>
      <c r="AC473" s="135"/>
    </row>
    <row r="474" ht="15.75" customHeight="1">
      <c r="A474" s="135"/>
      <c r="B474" s="135"/>
      <c r="C474" s="135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  <c r="Y474" s="135"/>
      <c r="Z474" s="135"/>
      <c r="AA474" s="135"/>
      <c r="AB474" s="135"/>
      <c r="AC474" s="135"/>
    </row>
    <row r="475" ht="15.75" customHeight="1">
      <c r="A475" s="135"/>
      <c r="B475" s="135"/>
      <c r="C475" s="135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  <c r="W475" s="135"/>
      <c r="X475" s="135"/>
      <c r="Y475" s="135"/>
      <c r="Z475" s="135"/>
      <c r="AA475" s="135"/>
      <c r="AB475" s="135"/>
      <c r="AC475" s="135"/>
    </row>
    <row r="476" ht="15.75" customHeight="1">
      <c r="A476" s="135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</row>
    <row r="477" ht="15.75" customHeight="1">
      <c r="A477" s="135"/>
      <c r="B477" s="135"/>
      <c r="C477" s="135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  <c r="Y477" s="135"/>
      <c r="Z477" s="135"/>
      <c r="AA477" s="135"/>
      <c r="AB477" s="135"/>
      <c r="AC477" s="135"/>
    </row>
    <row r="478" ht="15.75" customHeight="1">
      <c r="A478" s="135"/>
      <c r="B478" s="135"/>
      <c r="C478" s="135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  <c r="Y478" s="135"/>
      <c r="Z478" s="135"/>
      <c r="AA478" s="135"/>
      <c r="AB478" s="135"/>
      <c r="AC478" s="135"/>
    </row>
    <row r="479" ht="15.75" customHeight="1">
      <c r="A479" s="135"/>
      <c r="B479" s="135"/>
      <c r="C479" s="135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  <c r="Y479" s="135"/>
      <c r="Z479" s="135"/>
      <c r="AA479" s="135"/>
      <c r="AB479" s="135"/>
      <c r="AC479" s="135"/>
    </row>
    <row r="480" ht="15.75" customHeight="1">
      <c r="A480" s="135"/>
      <c r="B480" s="135"/>
      <c r="C480" s="135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  <c r="Y480" s="135"/>
      <c r="Z480" s="135"/>
      <c r="AA480" s="135"/>
      <c r="AB480" s="135"/>
      <c r="AC480" s="135"/>
    </row>
    <row r="481" ht="15.75" customHeight="1">
      <c r="A481" s="135"/>
      <c r="B481" s="135"/>
      <c r="C481" s="135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  <c r="Y481" s="135"/>
      <c r="Z481" s="135"/>
      <c r="AA481" s="135"/>
      <c r="AB481" s="135"/>
      <c r="AC481" s="135"/>
    </row>
    <row r="482" ht="15.75" customHeight="1">
      <c r="A482" s="135"/>
      <c r="B482" s="135"/>
      <c r="C482" s="135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  <c r="Y482" s="135"/>
      <c r="Z482" s="135"/>
      <c r="AA482" s="135"/>
      <c r="AB482" s="135"/>
      <c r="AC482" s="135"/>
    </row>
    <row r="483" ht="15.75" customHeight="1">
      <c r="A483" s="135"/>
      <c r="B483" s="135"/>
      <c r="C483" s="135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  <c r="Y483" s="135"/>
      <c r="Z483" s="135"/>
      <c r="AA483" s="135"/>
      <c r="AB483" s="135"/>
      <c r="AC483" s="135"/>
    </row>
    <row r="484" ht="15.75" customHeight="1">
      <c r="A484" s="135"/>
      <c r="B484" s="135"/>
      <c r="C484" s="135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  <c r="Y484" s="135"/>
      <c r="Z484" s="135"/>
      <c r="AA484" s="135"/>
      <c r="AB484" s="135"/>
      <c r="AC484" s="135"/>
    </row>
    <row r="485" ht="15.75" customHeight="1">
      <c r="A485" s="135"/>
      <c r="B485" s="135"/>
      <c r="C485" s="135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  <c r="Z485" s="135"/>
      <c r="AA485" s="135"/>
      <c r="AB485" s="135"/>
      <c r="AC485" s="135"/>
    </row>
    <row r="486" ht="15.75" customHeight="1">
      <c r="A486" s="135"/>
      <c r="B486" s="135"/>
      <c r="C486" s="135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  <c r="Y486" s="135"/>
      <c r="Z486" s="135"/>
      <c r="AA486" s="135"/>
      <c r="AB486" s="135"/>
      <c r="AC486" s="135"/>
    </row>
    <row r="487" ht="15.75" customHeight="1">
      <c r="A487" s="135"/>
      <c r="B487" s="135"/>
      <c r="C487" s="135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  <c r="Z487" s="135"/>
      <c r="AA487" s="135"/>
      <c r="AB487" s="135"/>
      <c r="AC487" s="135"/>
    </row>
    <row r="488" ht="15.75" customHeight="1">
      <c r="A488" s="135"/>
      <c r="B488" s="135"/>
      <c r="C488" s="135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  <c r="Z488" s="135"/>
      <c r="AA488" s="135"/>
      <c r="AB488" s="135"/>
      <c r="AC488" s="135"/>
    </row>
    <row r="489" ht="15.75" customHeight="1">
      <c r="A489" s="135"/>
      <c r="B489" s="135"/>
      <c r="C489" s="135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  <c r="Y489" s="135"/>
      <c r="Z489" s="135"/>
      <c r="AA489" s="135"/>
      <c r="AB489" s="135"/>
      <c r="AC489" s="135"/>
    </row>
    <row r="490" ht="15.75" customHeight="1">
      <c r="A490" s="135"/>
      <c r="B490" s="135"/>
      <c r="C490" s="135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  <c r="Y490" s="135"/>
      <c r="Z490" s="135"/>
      <c r="AA490" s="135"/>
      <c r="AB490" s="135"/>
      <c r="AC490" s="135"/>
    </row>
    <row r="491" ht="15.75" customHeight="1">
      <c r="A491" s="135"/>
      <c r="B491" s="135"/>
      <c r="C491" s="135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  <c r="Y491" s="135"/>
      <c r="Z491" s="135"/>
      <c r="AA491" s="135"/>
      <c r="AB491" s="135"/>
      <c r="AC491" s="135"/>
    </row>
    <row r="492" ht="15.75" customHeight="1">
      <c r="A492" s="135"/>
      <c r="B492" s="135"/>
      <c r="C492" s="135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  <c r="Y492" s="135"/>
      <c r="Z492" s="135"/>
      <c r="AA492" s="135"/>
      <c r="AB492" s="135"/>
      <c r="AC492" s="135"/>
    </row>
    <row r="493" ht="15.75" customHeight="1">
      <c r="A493" s="135"/>
      <c r="B493" s="135"/>
      <c r="C493" s="135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  <c r="Y493" s="135"/>
      <c r="Z493" s="135"/>
      <c r="AA493" s="135"/>
      <c r="AB493" s="135"/>
      <c r="AC493" s="135"/>
    </row>
    <row r="494" ht="15.75" customHeight="1">
      <c r="A494" s="135"/>
      <c r="B494" s="135"/>
      <c r="C494" s="135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  <c r="Y494" s="135"/>
      <c r="Z494" s="135"/>
      <c r="AA494" s="135"/>
      <c r="AB494" s="135"/>
      <c r="AC494" s="135"/>
    </row>
    <row r="495" ht="15.75" customHeight="1">
      <c r="A495" s="135"/>
      <c r="B495" s="135"/>
      <c r="C495" s="135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  <c r="Y495" s="135"/>
      <c r="Z495" s="135"/>
      <c r="AA495" s="135"/>
      <c r="AB495" s="135"/>
      <c r="AC495" s="135"/>
    </row>
    <row r="496" ht="15.75" customHeight="1">
      <c r="A496" s="135"/>
      <c r="B496" s="135"/>
      <c r="C496" s="135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  <c r="Y496" s="135"/>
      <c r="Z496" s="135"/>
      <c r="AA496" s="135"/>
      <c r="AB496" s="135"/>
      <c r="AC496" s="135"/>
    </row>
    <row r="497" ht="15.75" customHeight="1">
      <c r="A497" s="135"/>
      <c r="B497" s="135"/>
      <c r="C497" s="135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  <c r="Y497" s="135"/>
      <c r="Z497" s="135"/>
      <c r="AA497" s="135"/>
      <c r="AB497" s="135"/>
      <c r="AC497" s="135"/>
    </row>
    <row r="498" ht="15.75" customHeight="1">
      <c r="A498" s="135"/>
      <c r="B498" s="135"/>
      <c r="C498" s="135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  <c r="Y498" s="135"/>
      <c r="Z498" s="135"/>
      <c r="AA498" s="135"/>
      <c r="AB498" s="135"/>
      <c r="AC498" s="135"/>
    </row>
    <row r="499" ht="15.75" customHeight="1">
      <c r="A499" s="135"/>
      <c r="B499" s="135"/>
      <c r="C499" s="135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  <c r="Y499" s="135"/>
      <c r="Z499" s="135"/>
      <c r="AA499" s="135"/>
      <c r="AB499" s="135"/>
      <c r="AC499" s="135"/>
    </row>
    <row r="500" ht="15.75" customHeight="1">
      <c r="A500" s="135"/>
      <c r="B500" s="135"/>
      <c r="C500" s="135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  <c r="Y500" s="135"/>
      <c r="Z500" s="135"/>
      <c r="AA500" s="135"/>
      <c r="AB500" s="135"/>
      <c r="AC500" s="135"/>
    </row>
    <row r="501" ht="15.75" customHeight="1">
      <c r="A501" s="135"/>
      <c r="B501" s="135"/>
      <c r="C501" s="135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  <c r="Y501" s="135"/>
      <c r="Z501" s="135"/>
      <c r="AA501" s="135"/>
      <c r="AB501" s="135"/>
      <c r="AC501" s="135"/>
    </row>
    <row r="502" ht="15.75" customHeight="1">
      <c r="A502" s="135"/>
      <c r="B502" s="135"/>
      <c r="C502" s="135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  <c r="Y502" s="135"/>
      <c r="Z502" s="135"/>
      <c r="AA502" s="135"/>
      <c r="AB502" s="135"/>
      <c r="AC502" s="135"/>
    </row>
    <row r="503" ht="15.75" customHeight="1">
      <c r="A503" s="135"/>
      <c r="B503" s="135"/>
      <c r="C503" s="135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  <c r="Y503" s="135"/>
      <c r="Z503" s="135"/>
      <c r="AA503" s="135"/>
      <c r="AB503" s="135"/>
      <c r="AC503" s="135"/>
    </row>
    <row r="504" ht="15.75" customHeight="1">
      <c r="A504" s="135"/>
      <c r="B504" s="135"/>
      <c r="C504" s="135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  <c r="Y504" s="135"/>
      <c r="Z504" s="135"/>
      <c r="AA504" s="135"/>
      <c r="AB504" s="135"/>
      <c r="AC504" s="135"/>
    </row>
    <row r="505" ht="15.75" customHeight="1">
      <c r="A505" s="135"/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  <c r="Z505" s="135"/>
      <c r="AA505" s="135"/>
      <c r="AB505" s="135"/>
      <c r="AC505" s="135"/>
    </row>
    <row r="506" ht="15.75" customHeight="1">
      <c r="A506" s="135"/>
      <c r="B506" s="135"/>
      <c r="C506" s="135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  <c r="Y506" s="135"/>
      <c r="Z506" s="135"/>
      <c r="AA506" s="135"/>
      <c r="AB506" s="135"/>
      <c r="AC506" s="135"/>
    </row>
    <row r="507" ht="15.75" customHeight="1">
      <c r="A507" s="135"/>
      <c r="B507" s="135"/>
      <c r="C507" s="135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  <c r="W507" s="135"/>
      <c r="X507" s="135"/>
      <c r="Y507" s="135"/>
      <c r="Z507" s="135"/>
      <c r="AA507" s="135"/>
      <c r="AB507" s="135"/>
      <c r="AC507" s="135"/>
    </row>
    <row r="508" ht="15.75" customHeight="1">
      <c r="A508" s="135"/>
      <c r="B508" s="135"/>
      <c r="C508" s="135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  <c r="W508" s="135"/>
      <c r="X508" s="135"/>
      <c r="Y508" s="135"/>
      <c r="Z508" s="135"/>
      <c r="AA508" s="135"/>
      <c r="AB508" s="135"/>
      <c r="AC508" s="135"/>
    </row>
    <row r="509" ht="15.75" customHeight="1">
      <c r="A509" s="135"/>
      <c r="B509" s="135"/>
      <c r="C509" s="135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  <c r="Y509" s="135"/>
      <c r="Z509" s="135"/>
      <c r="AA509" s="135"/>
      <c r="AB509" s="135"/>
      <c r="AC509" s="135"/>
    </row>
    <row r="510" ht="15.75" customHeight="1">
      <c r="A510" s="135"/>
      <c r="B510" s="135"/>
      <c r="C510" s="135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  <c r="Y510" s="135"/>
      <c r="Z510" s="135"/>
      <c r="AA510" s="135"/>
      <c r="AB510" s="135"/>
      <c r="AC510" s="135"/>
    </row>
    <row r="511" ht="15.75" customHeight="1">
      <c r="A511" s="135"/>
      <c r="B511" s="135"/>
      <c r="C511" s="135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  <c r="Y511" s="135"/>
      <c r="Z511" s="135"/>
      <c r="AA511" s="135"/>
      <c r="AB511" s="135"/>
      <c r="AC511" s="135"/>
    </row>
    <row r="512" ht="15.75" customHeight="1">
      <c r="A512" s="135"/>
      <c r="B512" s="135"/>
      <c r="C512" s="135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  <c r="Y512" s="135"/>
      <c r="Z512" s="135"/>
      <c r="AA512" s="135"/>
      <c r="AB512" s="135"/>
      <c r="AC512" s="135"/>
    </row>
    <row r="513" ht="15.75" customHeight="1">
      <c r="A513" s="135"/>
      <c r="B513" s="135"/>
      <c r="C513" s="135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  <c r="Y513" s="135"/>
      <c r="Z513" s="135"/>
      <c r="AA513" s="135"/>
      <c r="AB513" s="135"/>
      <c r="AC513" s="135"/>
    </row>
    <row r="514" ht="15.75" customHeight="1">
      <c r="A514" s="135"/>
      <c r="B514" s="135"/>
      <c r="C514" s="135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  <c r="Y514" s="135"/>
      <c r="Z514" s="135"/>
      <c r="AA514" s="135"/>
      <c r="AB514" s="135"/>
      <c r="AC514" s="135"/>
    </row>
    <row r="515" ht="15.75" customHeight="1">
      <c r="A515" s="135"/>
      <c r="B515" s="135"/>
      <c r="C515" s="135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  <c r="Y515" s="135"/>
      <c r="Z515" s="135"/>
      <c r="AA515" s="135"/>
      <c r="AB515" s="135"/>
      <c r="AC515" s="135"/>
    </row>
    <row r="516" ht="15.75" customHeight="1">
      <c r="A516" s="135"/>
      <c r="B516" s="135"/>
      <c r="C516" s="135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  <c r="Y516" s="135"/>
      <c r="Z516" s="135"/>
      <c r="AA516" s="135"/>
      <c r="AB516" s="135"/>
      <c r="AC516" s="135"/>
    </row>
    <row r="517" ht="15.75" customHeight="1">
      <c r="A517" s="135"/>
      <c r="B517" s="135"/>
      <c r="C517" s="135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  <c r="Y517" s="135"/>
      <c r="Z517" s="135"/>
      <c r="AA517" s="135"/>
      <c r="AB517" s="135"/>
      <c r="AC517" s="135"/>
    </row>
    <row r="518" ht="15.75" customHeight="1">
      <c r="A518" s="135"/>
      <c r="B518" s="135"/>
      <c r="C518" s="135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  <c r="Y518" s="135"/>
      <c r="Z518" s="135"/>
      <c r="AA518" s="135"/>
      <c r="AB518" s="135"/>
      <c r="AC518" s="135"/>
    </row>
    <row r="519" ht="15.75" customHeight="1">
      <c r="A519" s="135"/>
      <c r="B519" s="135"/>
      <c r="C519" s="135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  <c r="Y519" s="135"/>
      <c r="Z519" s="135"/>
      <c r="AA519" s="135"/>
      <c r="AB519" s="135"/>
      <c r="AC519" s="135"/>
    </row>
    <row r="520" ht="15.75" customHeight="1">
      <c r="A520" s="135"/>
      <c r="B520" s="135"/>
      <c r="C520" s="135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  <c r="Y520" s="135"/>
      <c r="Z520" s="135"/>
      <c r="AA520" s="135"/>
      <c r="AB520" s="135"/>
      <c r="AC520" s="135"/>
    </row>
    <row r="521" ht="15.75" customHeight="1">
      <c r="A521" s="135"/>
      <c r="B521" s="135"/>
      <c r="C521" s="135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  <c r="Z521" s="135"/>
      <c r="AA521" s="135"/>
      <c r="AB521" s="135"/>
      <c r="AC521" s="135"/>
    </row>
    <row r="522" ht="15.75" customHeight="1">
      <c r="A522" s="135"/>
      <c r="B522" s="135"/>
      <c r="C522" s="13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  <c r="Y522" s="135"/>
      <c r="Z522" s="135"/>
      <c r="AA522" s="135"/>
      <c r="AB522" s="135"/>
      <c r="AC522" s="135"/>
    </row>
    <row r="523" ht="15.75" customHeight="1">
      <c r="A523" s="135"/>
      <c r="B523" s="135"/>
      <c r="C523" s="135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  <c r="W523" s="135"/>
      <c r="X523" s="135"/>
      <c r="Y523" s="135"/>
      <c r="Z523" s="135"/>
      <c r="AA523" s="135"/>
      <c r="AB523" s="135"/>
      <c r="AC523" s="135"/>
    </row>
    <row r="524" ht="15.75" customHeight="1">
      <c r="A524" s="135"/>
      <c r="B524" s="135"/>
      <c r="C524" s="135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  <c r="W524" s="135"/>
      <c r="X524" s="135"/>
      <c r="Y524" s="135"/>
      <c r="Z524" s="135"/>
      <c r="AA524" s="135"/>
      <c r="AB524" s="135"/>
      <c r="AC524" s="135"/>
    </row>
    <row r="525" ht="15.75" customHeight="1">
      <c r="A525" s="135"/>
      <c r="B525" s="135"/>
      <c r="C525" s="135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  <c r="Z525" s="135"/>
      <c r="AA525" s="135"/>
      <c r="AB525" s="135"/>
      <c r="AC525" s="135"/>
    </row>
    <row r="526" ht="15.75" customHeight="1">
      <c r="A526" s="135"/>
      <c r="B526" s="135"/>
      <c r="C526" s="135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  <c r="Y526" s="135"/>
      <c r="Z526" s="135"/>
      <c r="AA526" s="135"/>
      <c r="AB526" s="135"/>
      <c r="AC526" s="135"/>
    </row>
    <row r="527" ht="15.75" customHeight="1">
      <c r="A527" s="135"/>
      <c r="B527" s="135"/>
      <c r="C527" s="135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  <c r="Z527" s="135"/>
      <c r="AA527" s="135"/>
      <c r="AB527" s="135"/>
      <c r="AC527" s="135"/>
    </row>
    <row r="528" ht="15.75" customHeight="1">
      <c r="A528" s="135"/>
      <c r="B528" s="135"/>
      <c r="C528" s="135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  <c r="Y528" s="135"/>
      <c r="Z528" s="135"/>
      <c r="AA528" s="135"/>
      <c r="AB528" s="135"/>
      <c r="AC528" s="135"/>
    </row>
    <row r="529" ht="15.75" customHeight="1">
      <c r="A529" s="135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</row>
    <row r="530" ht="15.75" customHeight="1">
      <c r="A530" s="135"/>
      <c r="B530" s="135"/>
      <c r="C530" s="135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  <c r="Y530" s="135"/>
      <c r="Z530" s="135"/>
      <c r="AA530" s="135"/>
      <c r="AB530" s="135"/>
      <c r="AC530" s="135"/>
    </row>
    <row r="531" ht="15.75" customHeight="1">
      <c r="A531" s="135"/>
      <c r="B531" s="135"/>
      <c r="C531" s="135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  <c r="Z531" s="135"/>
      <c r="AA531" s="135"/>
      <c r="AB531" s="135"/>
      <c r="AC531" s="135"/>
    </row>
    <row r="532" ht="15.75" customHeight="1">
      <c r="A532" s="135"/>
      <c r="B532" s="135"/>
      <c r="C532" s="135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  <c r="Y532" s="135"/>
      <c r="Z532" s="135"/>
      <c r="AA532" s="135"/>
      <c r="AB532" s="135"/>
      <c r="AC532" s="135"/>
    </row>
    <row r="533" ht="15.75" customHeight="1">
      <c r="A533" s="135"/>
      <c r="B533" s="135"/>
      <c r="C533" s="135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  <c r="Z533" s="135"/>
      <c r="AA533" s="135"/>
      <c r="AB533" s="135"/>
      <c r="AC533" s="135"/>
    </row>
    <row r="534" ht="15.75" customHeight="1">
      <c r="A534" s="135"/>
      <c r="B534" s="135"/>
      <c r="C534" s="135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  <c r="Y534" s="135"/>
      <c r="Z534" s="135"/>
      <c r="AA534" s="135"/>
      <c r="AB534" s="135"/>
      <c r="AC534" s="135"/>
    </row>
    <row r="535" ht="15.75" customHeight="1">
      <c r="A535" s="135"/>
      <c r="B535" s="135"/>
      <c r="C535" s="135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  <c r="Y535" s="135"/>
      <c r="Z535" s="135"/>
      <c r="AA535" s="135"/>
      <c r="AB535" s="135"/>
      <c r="AC535" s="135"/>
    </row>
    <row r="536" ht="15.75" customHeight="1">
      <c r="A536" s="135"/>
      <c r="B536" s="135"/>
      <c r="C536" s="135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  <c r="Y536" s="135"/>
      <c r="Z536" s="135"/>
      <c r="AA536" s="135"/>
      <c r="AB536" s="135"/>
      <c r="AC536" s="135"/>
    </row>
    <row r="537" ht="15.75" customHeight="1">
      <c r="A537" s="135"/>
      <c r="B537" s="135"/>
      <c r="C537" s="135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  <c r="Y537" s="135"/>
      <c r="Z537" s="135"/>
      <c r="AA537" s="135"/>
      <c r="AB537" s="135"/>
      <c r="AC537" s="135"/>
    </row>
    <row r="538" ht="15.75" customHeight="1">
      <c r="A538" s="135"/>
      <c r="B538" s="135"/>
      <c r="C538" s="135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  <c r="Y538" s="135"/>
      <c r="Z538" s="135"/>
      <c r="AA538" s="135"/>
      <c r="AB538" s="135"/>
      <c r="AC538" s="135"/>
    </row>
    <row r="539" ht="15.75" customHeight="1">
      <c r="A539" s="135"/>
      <c r="B539" s="135"/>
      <c r="C539" s="135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  <c r="Y539" s="135"/>
      <c r="Z539" s="135"/>
      <c r="AA539" s="135"/>
      <c r="AB539" s="135"/>
      <c r="AC539" s="135"/>
    </row>
    <row r="540" ht="15.75" customHeight="1">
      <c r="A540" s="135"/>
      <c r="B540" s="135"/>
      <c r="C540" s="135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  <c r="Y540" s="135"/>
      <c r="Z540" s="135"/>
      <c r="AA540" s="135"/>
      <c r="AB540" s="135"/>
      <c r="AC540" s="135"/>
    </row>
    <row r="541" ht="15.75" customHeight="1">
      <c r="A541" s="135"/>
      <c r="B541" s="135"/>
      <c r="C541" s="135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  <c r="Y541" s="135"/>
      <c r="Z541" s="135"/>
      <c r="AA541" s="135"/>
      <c r="AB541" s="135"/>
      <c r="AC541" s="135"/>
    </row>
    <row r="542" ht="15.75" customHeight="1">
      <c r="A542" s="135"/>
      <c r="B542" s="135"/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  <c r="Y542" s="135"/>
      <c r="Z542" s="135"/>
      <c r="AA542" s="135"/>
      <c r="AB542" s="135"/>
      <c r="AC542" s="135"/>
    </row>
    <row r="543" ht="15.75" customHeight="1">
      <c r="A543" s="135"/>
      <c r="B543" s="135"/>
      <c r="C543" s="135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  <c r="Y543" s="135"/>
      <c r="Z543" s="135"/>
      <c r="AA543" s="135"/>
      <c r="AB543" s="135"/>
      <c r="AC543" s="135"/>
    </row>
    <row r="544" ht="15.75" customHeight="1">
      <c r="A544" s="135"/>
      <c r="B544" s="135"/>
      <c r="C544" s="135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  <c r="Y544" s="135"/>
      <c r="Z544" s="135"/>
      <c r="AA544" s="135"/>
      <c r="AB544" s="135"/>
      <c r="AC544" s="135"/>
    </row>
    <row r="545" ht="15.75" customHeight="1">
      <c r="A545" s="135"/>
      <c r="B545" s="135"/>
      <c r="C545" s="135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  <c r="Z545" s="135"/>
      <c r="AA545" s="135"/>
      <c r="AB545" s="135"/>
      <c r="AC545" s="135"/>
    </row>
    <row r="546" ht="15.75" customHeight="1">
      <c r="A546" s="135"/>
      <c r="B546" s="135"/>
      <c r="C546" s="135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  <c r="Y546" s="135"/>
      <c r="Z546" s="135"/>
      <c r="AA546" s="135"/>
      <c r="AB546" s="135"/>
      <c r="AC546" s="135"/>
    </row>
    <row r="547" ht="15.75" customHeight="1">
      <c r="A547" s="135"/>
      <c r="B547" s="135"/>
      <c r="C547" s="135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  <c r="Y547" s="135"/>
      <c r="Z547" s="135"/>
      <c r="AA547" s="135"/>
      <c r="AB547" s="135"/>
      <c r="AC547" s="135"/>
    </row>
    <row r="548" ht="15.75" customHeight="1">
      <c r="A548" s="135"/>
      <c r="B548" s="135"/>
      <c r="C548" s="135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  <c r="Y548" s="135"/>
      <c r="Z548" s="135"/>
      <c r="AA548" s="135"/>
      <c r="AB548" s="135"/>
      <c r="AC548" s="135"/>
    </row>
    <row r="549" ht="15.75" customHeight="1">
      <c r="A549" s="135"/>
      <c r="B549" s="135"/>
      <c r="C549" s="135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  <c r="Y549" s="135"/>
      <c r="Z549" s="135"/>
      <c r="AA549" s="135"/>
      <c r="AB549" s="135"/>
      <c r="AC549" s="135"/>
    </row>
    <row r="550" ht="15.75" customHeight="1">
      <c r="A550" s="135"/>
      <c r="B550" s="135"/>
      <c r="C550" s="13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  <c r="Y550" s="135"/>
      <c r="Z550" s="135"/>
      <c r="AA550" s="135"/>
      <c r="AB550" s="135"/>
      <c r="AC550" s="135"/>
    </row>
    <row r="551" ht="15.75" customHeight="1">
      <c r="A551" s="135"/>
      <c r="B551" s="135"/>
      <c r="C551" s="135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  <c r="Y551" s="135"/>
      <c r="Z551" s="135"/>
      <c r="AA551" s="135"/>
      <c r="AB551" s="135"/>
      <c r="AC551" s="135"/>
    </row>
    <row r="552" ht="15.75" customHeight="1">
      <c r="A552" s="135"/>
      <c r="B552" s="135"/>
      <c r="C552" s="135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  <c r="Y552" s="135"/>
      <c r="Z552" s="135"/>
      <c r="AA552" s="135"/>
      <c r="AB552" s="135"/>
      <c r="AC552" s="135"/>
    </row>
    <row r="553" ht="15.75" customHeight="1">
      <c r="A553" s="135"/>
      <c r="B553" s="135"/>
      <c r="C553" s="135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  <c r="Y553" s="135"/>
      <c r="Z553" s="135"/>
      <c r="AA553" s="135"/>
      <c r="AB553" s="135"/>
      <c r="AC553" s="135"/>
    </row>
    <row r="554" ht="15.75" customHeight="1">
      <c r="A554" s="135"/>
      <c r="B554" s="135"/>
      <c r="C554" s="135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  <c r="Y554" s="135"/>
      <c r="Z554" s="135"/>
      <c r="AA554" s="135"/>
      <c r="AB554" s="135"/>
      <c r="AC554" s="135"/>
    </row>
    <row r="555" ht="15.75" customHeight="1">
      <c r="A555" s="135"/>
      <c r="B555" s="135"/>
      <c r="C555" s="135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  <c r="W555" s="135"/>
      <c r="X555" s="135"/>
      <c r="Y555" s="135"/>
      <c r="Z555" s="135"/>
      <c r="AA555" s="135"/>
      <c r="AB555" s="135"/>
      <c r="AC555" s="135"/>
    </row>
    <row r="556" ht="15.75" customHeight="1">
      <c r="A556" s="135"/>
      <c r="B556" s="135"/>
      <c r="C556" s="135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  <c r="Y556" s="135"/>
      <c r="Z556" s="135"/>
      <c r="AA556" s="135"/>
      <c r="AB556" s="135"/>
      <c r="AC556" s="135"/>
    </row>
    <row r="557" ht="15.75" customHeight="1">
      <c r="A557" s="135"/>
      <c r="B557" s="135"/>
      <c r="C557" s="135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  <c r="Y557" s="135"/>
      <c r="Z557" s="135"/>
      <c r="AA557" s="135"/>
      <c r="AB557" s="135"/>
      <c r="AC557" s="135"/>
    </row>
    <row r="558" ht="15.75" customHeight="1">
      <c r="A558" s="135"/>
      <c r="B558" s="135"/>
      <c r="C558" s="135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  <c r="Y558" s="135"/>
      <c r="Z558" s="135"/>
      <c r="AA558" s="135"/>
      <c r="AB558" s="135"/>
      <c r="AC558" s="135"/>
    </row>
    <row r="559" ht="15.75" customHeight="1">
      <c r="A559" s="135"/>
      <c r="B559" s="135"/>
      <c r="C559" s="135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  <c r="Y559" s="135"/>
      <c r="Z559" s="135"/>
      <c r="AA559" s="135"/>
      <c r="AB559" s="135"/>
      <c r="AC559" s="135"/>
    </row>
    <row r="560" ht="15.75" customHeight="1">
      <c r="A560" s="135"/>
      <c r="B560" s="135"/>
      <c r="C560" s="135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  <c r="Y560" s="135"/>
      <c r="Z560" s="135"/>
      <c r="AA560" s="135"/>
      <c r="AB560" s="135"/>
      <c r="AC560" s="135"/>
    </row>
    <row r="561" ht="15.75" customHeight="1">
      <c r="A561" s="135"/>
      <c r="B561" s="135"/>
      <c r="C561" s="135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  <c r="Y561" s="135"/>
      <c r="Z561" s="135"/>
      <c r="AA561" s="135"/>
      <c r="AB561" s="135"/>
      <c r="AC561" s="135"/>
    </row>
    <row r="562" ht="15.75" customHeight="1">
      <c r="A562" s="135"/>
      <c r="B562" s="135"/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  <c r="Y562" s="135"/>
      <c r="Z562" s="135"/>
      <c r="AA562" s="135"/>
      <c r="AB562" s="135"/>
      <c r="AC562" s="135"/>
    </row>
    <row r="563" ht="15.75" customHeight="1">
      <c r="A563" s="135"/>
      <c r="B563" s="135"/>
      <c r="C563" s="135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  <c r="Y563" s="135"/>
      <c r="Z563" s="135"/>
      <c r="AA563" s="135"/>
      <c r="AB563" s="135"/>
      <c r="AC563" s="135"/>
    </row>
    <row r="564" ht="15.75" customHeight="1">
      <c r="A564" s="135"/>
      <c r="B564" s="135"/>
      <c r="C564" s="135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  <c r="Y564" s="135"/>
      <c r="Z564" s="135"/>
      <c r="AA564" s="135"/>
      <c r="AB564" s="135"/>
      <c r="AC564" s="135"/>
    </row>
    <row r="565" ht="15.75" customHeight="1">
      <c r="A565" s="135"/>
      <c r="B565" s="135"/>
      <c r="C565" s="135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  <c r="Z565" s="135"/>
      <c r="AA565" s="135"/>
      <c r="AB565" s="135"/>
      <c r="AC565" s="135"/>
    </row>
    <row r="566" ht="15.75" customHeight="1">
      <c r="A566" s="135"/>
      <c r="B566" s="135"/>
      <c r="C566" s="135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  <c r="Y566" s="135"/>
      <c r="Z566" s="135"/>
      <c r="AA566" s="135"/>
      <c r="AB566" s="135"/>
      <c r="AC566" s="135"/>
    </row>
    <row r="567" ht="15.75" customHeight="1">
      <c r="A567" s="135"/>
      <c r="B567" s="135"/>
      <c r="C567" s="135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  <c r="Y567" s="135"/>
      <c r="Z567" s="135"/>
      <c r="AA567" s="135"/>
      <c r="AB567" s="135"/>
      <c r="AC567" s="135"/>
    </row>
    <row r="568" ht="15.75" customHeight="1">
      <c r="A568" s="135"/>
      <c r="B568" s="135"/>
      <c r="C568" s="135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  <c r="Y568" s="135"/>
      <c r="Z568" s="135"/>
      <c r="AA568" s="135"/>
      <c r="AB568" s="135"/>
      <c r="AC568" s="135"/>
    </row>
    <row r="569" ht="15.75" customHeight="1">
      <c r="A569" s="135"/>
      <c r="B569" s="135"/>
      <c r="C569" s="135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  <c r="Y569" s="135"/>
      <c r="Z569" s="135"/>
      <c r="AA569" s="135"/>
      <c r="AB569" s="135"/>
      <c r="AC569" s="135"/>
    </row>
    <row r="570" ht="15.75" customHeight="1">
      <c r="A570" s="135"/>
      <c r="B570" s="135"/>
      <c r="C570" s="135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  <c r="Y570" s="135"/>
      <c r="Z570" s="135"/>
      <c r="AA570" s="135"/>
      <c r="AB570" s="135"/>
      <c r="AC570" s="135"/>
    </row>
    <row r="571" ht="15.75" customHeight="1">
      <c r="A571" s="135"/>
      <c r="B571" s="135"/>
      <c r="C571" s="135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  <c r="Y571" s="135"/>
      <c r="Z571" s="135"/>
      <c r="AA571" s="135"/>
      <c r="AB571" s="135"/>
      <c r="AC571" s="135"/>
    </row>
    <row r="572" ht="15.75" customHeight="1">
      <c r="A572" s="135"/>
      <c r="B572" s="135"/>
      <c r="C572" s="135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  <c r="Y572" s="135"/>
      <c r="Z572" s="135"/>
      <c r="AA572" s="135"/>
      <c r="AB572" s="135"/>
      <c r="AC572" s="135"/>
    </row>
    <row r="573" ht="15.75" customHeight="1">
      <c r="A573" s="135"/>
      <c r="B573" s="135"/>
      <c r="C573" s="135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  <c r="Z573" s="135"/>
      <c r="AA573" s="135"/>
      <c r="AB573" s="135"/>
      <c r="AC573" s="135"/>
    </row>
    <row r="574" ht="15.75" customHeight="1">
      <c r="A574" s="135"/>
      <c r="B574" s="135"/>
      <c r="C574" s="135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  <c r="W574" s="135"/>
      <c r="X574" s="135"/>
      <c r="Y574" s="135"/>
      <c r="Z574" s="135"/>
      <c r="AA574" s="135"/>
      <c r="AB574" s="135"/>
      <c r="AC574" s="135"/>
    </row>
    <row r="575" ht="15.75" customHeight="1">
      <c r="A575" s="135"/>
      <c r="B575" s="135"/>
      <c r="C575" s="135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  <c r="Y575" s="135"/>
      <c r="Z575" s="135"/>
      <c r="AA575" s="135"/>
      <c r="AB575" s="135"/>
      <c r="AC575" s="135"/>
    </row>
    <row r="576" ht="15.75" customHeight="1">
      <c r="A576" s="135"/>
      <c r="B576" s="135"/>
      <c r="C576" s="135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  <c r="Y576" s="135"/>
      <c r="Z576" s="135"/>
      <c r="AA576" s="135"/>
      <c r="AB576" s="135"/>
      <c r="AC576" s="135"/>
    </row>
    <row r="577" ht="15.75" customHeight="1">
      <c r="A577" s="135"/>
      <c r="B577" s="135"/>
      <c r="C577" s="135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  <c r="Y577" s="135"/>
      <c r="Z577" s="135"/>
      <c r="AA577" s="135"/>
      <c r="AB577" s="135"/>
      <c r="AC577" s="135"/>
    </row>
    <row r="578" ht="15.75" customHeight="1">
      <c r="A578" s="135"/>
      <c r="B578" s="135"/>
      <c r="C578" s="135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  <c r="Y578" s="135"/>
      <c r="Z578" s="135"/>
      <c r="AA578" s="135"/>
      <c r="AB578" s="135"/>
      <c r="AC578" s="135"/>
    </row>
    <row r="579" ht="15.75" customHeight="1">
      <c r="A579" s="135"/>
      <c r="B579" s="135"/>
      <c r="C579" s="135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  <c r="Y579" s="135"/>
      <c r="Z579" s="135"/>
      <c r="AA579" s="135"/>
      <c r="AB579" s="135"/>
      <c r="AC579" s="135"/>
    </row>
    <row r="580" ht="15.75" customHeight="1">
      <c r="A580" s="135"/>
      <c r="B580" s="135"/>
      <c r="C580" s="135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  <c r="Z580" s="135"/>
      <c r="AA580" s="135"/>
      <c r="AB580" s="135"/>
      <c r="AC580" s="135"/>
    </row>
    <row r="581" ht="15.75" customHeight="1">
      <c r="A581" s="135"/>
      <c r="B581" s="135"/>
      <c r="C581" s="135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  <c r="Y581" s="135"/>
      <c r="Z581" s="135"/>
      <c r="AA581" s="135"/>
      <c r="AB581" s="135"/>
      <c r="AC581" s="135"/>
    </row>
    <row r="582" ht="15.75" customHeight="1">
      <c r="A582" s="135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</row>
    <row r="583" ht="15.75" customHeight="1">
      <c r="A583" s="135"/>
      <c r="B583" s="135"/>
      <c r="C583" s="135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  <c r="Y583" s="135"/>
      <c r="Z583" s="135"/>
      <c r="AA583" s="135"/>
      <c r="AB583" s="135"/>
      <c r="AC583" s="135"/>
    </row>
    <row r="584" ht="15.75" customHeight="1">
      <c r="A584" s="135"/>
      <c r="B584" s="135"/>
      <c r="C584" s="135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  <c r="Y584" s="135"/>
      <c r="Z584" s="135"/>
      <c r="AA584" s="135"/>
      <c r="AB584" s="135"/>
      <c r="AC584" s="135"/>
    </row>
    <row r="585" ht="15.75" customHeight="1">
      <c r="A585" s="135"/>
      <c r="B585" s="135"/>
      <c r="C585" s="135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  <c r="Z585" s="135"/>
      <c r="AA585" s="135"/>
      <c r="AB585" s="135"/>
      <c r="AC585" s="135"/>
    </row>
    <row r="586" ht="15.75" customHeight="1">
      <c r="A586" s="135"/>
      <c r="B586" s="135"/>
      <c r="C586" s="135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  <c r="Y586" s="135"/>
      <c r="Z586" s="135"/>
      <c r="AA586" s="135"/>
      <c r="AB586" s="135"/>
      <c r="AC586" s="135"/>
    </row>
    <row r="587" ht="15.75" customHeight="1">
      <c r="A587" s="135"/>
      <c r="B587" s="135"/>
      <c r="C587" s="135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  <c r="Y587" s="135"/>
      <c r="Z587" s="135"/>
      <c r="AA587" s="135"/>
      <c r="AB587" s="135"/>
      <c r="AC587" s="135"/>
    </row>
    <row r="588" ht="15.75" customHeight="1">
      <c r="A588" s="135"/>
      <c r="B588" s="135"/>
      <c r="C588" s="135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  <c r="Y588" s="135"/>
      <c r="Z588" s="135"/>
      <c r="AA588" s="135"/>
      <c r="AB588" s="135"/>
      <c r="AC588" s="135"/>
    </row>
    <row r="589" ht="15.75" customHeight="1">
      <c r="A589" s="135"/>
      <c r="B589" s="135"/>
      <c r="C589" s="135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  <c r="Y589" s="135"/>
      <c r="Z589" s="135"/>
      <c r="AA589" s="135"/>
      <c r="AB589" s="135"/>
      <c r="AC589" s="135"/>
    </row>
    <row r="590" ht="15.75" customHeight="1">
      <c r="A590" s="135"/>
      <c r="B590" s="135"/>
      <c r="C590" s="135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  <c r="Y590" s="135"/>
      <c r="Z590" s="135"/>
      <c r="AA590" s="135"/>
      <c r="AB590" s="135"/>
      <c r="AC590" s="135"/>
    </row>
    <row r="591" ht="15.75" customHeight="1">
      <c r="A591" s="135"/>
      <c r="B591" s="135"/>
      <c r="C591" s="135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  <c r="Y591" s="135"/>
      <c r="Z591" s="135"/>
      <c r="AA591" s="135"/>
      <c r="AB591" s="135"/>
      <c r="AC591" s="135"/>
    </row>
    <row r="592" ht="15.75" customHeight="1">
      <c r="A592" s="135"/>
      <c r="B592" s="135"/>
      <c r="C592" s="135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  <c r="Y592" s="135"/>
      <c r="Z592" s="135"/>
      <c r="AA592" s="135"/>
      <c r="AB592" s="135"/>
      <c r="AC592" s="135"/>
    </row>
    <row r="593" ht="15.75" customHeight="1">
      <c r="A593" s="135"/>
      <c r="B593" s="135"/>
      <c r="C593" s="135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  <c r="Y593" s="135"/>
      <c r="Z593" s="135"/>
      <c r="AA593" s="135"/>
      <c r="AB593" s="135"/>
      <c r="AC593" s="135"/>
    </row>
    <row r="594" ht="15.75" customHeight="1">
      <c r="A594" s="135"/>
      <c r="B594" s="135"/>
      <c r="C594" s="135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  <c r="Y594" s="135"/>
      <c r="Z594" s="135"/>
      <c r="AA594" s="135"/>
      <c r="AB594" s="135"/>
      <c r="AC594" s="135"/>
    </row>
    <row r="595" ht="15.75" customHeight="1">
      <c r="A595" s="135"/>
      <c r="B595" s="135"/>
      <c r="C595" s="135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  <c r="AA595" s="135"/>
      <c r="AB595" s="135"/>
      <c r="AC595" s="135"/>
    </row>
    <row r="596" ht="15.75" customHeight="1">
      <c r="A596" s="135"/>
      <c r="B596" s="135"/>
      <c r="C596" s="13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  <c r="AA596" s="135"/>
      <c r="AB596" s="135"/>
      <c r="AC596" s="135"/>
    </row>
    <row r="597" ht="15.75" customHeight="1">
      <c r="A597" s="135"/>
      <c r="B597" s="135"/>
      <c r="C597" s="135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  <c r="Y597" s="135"/>
      <c r="Z597" s="135"/>
      <c r="AA597" s="135"/>
      <c r="AB597" s="135"/>
      <c r="AC597" s="135"/>
    </row>
    <row r="598" ht="15.75" customHeight="1">
      <c r="A598" s="135"/>
      <c r="B598" s="135"/>
      <c r="C598" s="135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  <c r="Y598" s="135"/>
      <c r="Z598" s="135"/>
      <c r="AA598" s="135"/>
      <c r="AB598" s="135"/>
      <c r="AC598" s="135"/>
    </row>
    <row r="599" ht="15.75" customHeight="1">
      <c r="A599" s="135"/>
      <c r="B599" s="135"/>
      <c r="C599" s="135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  <c r="Y599" s="135"/>
      <c r="Z599" s="135"/>
      <c r="AA599" s="135"/>
      <c r="AB599" s="135"/>
      <c r="AC599" s="135"/>
    </row>
    <row r="600" ht="15.75" customHeight="1">
      <c r="A600" s="135"/>
      <c r="B600" s="135"/>
      <c r="C600" s="135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  <c r="Y600" s="135"/>
      <c r="Z600" s="135"/>
      <c r="AA600" s="135"/>
      <c r="AB600" s="135"/>
      <c r="AC600" s="135"/>
    </row>
    <row r="601" ht="15.75" customHeight="1">
      <c r="A601" s="135"/>
      <c r="B601" s="135"/>
      <c r="C601" s="135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  <c r="Z601" s="135"/>
      <c r="AA601" s="135"/>
      <c r="AB601" s="135"/>
      <c r="AC601" s="135"/>
    </row>
    <row r="602" ht="15.75" customHeight="1">
      <c r="A602" s="135"/>
      <c r="B602" s="135"/>
      <c r="C602" s="135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  <c r="Y602" s="135"/>
      <c r="Z602" s="135"/>
      <c r="AA602" s="135"/>
      <c r="AB602" s="135"/>
      <c r="AC602" s="135"/>
    </row>
    <row r="603" ht="15.75" customHeight="1">
      <c r="A603" s="135"/>
      <c r="B603" s="135"/>
      <c r="C603" s="135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  <c r="Y603" s="135"/>
      <c r="Z603" s="135"/>
      <c r="AA603" s="135"/>
      <c r="AB603" s="135"/>
      <c r="AC603" s="135"/>
    </row>
    <row r="604" ht="15.75" customHeight="1">
      <c r="A604" s="135"/>
      <c r="B604" s="135"/>
      <c r="C604" s="135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  <c r="Y604" s="135"/>
      <c r="Z604" s="135"/>
      <c r="AA604" s="135"/>
      <c r="AB604" s="135"/>
      <c r="AC604" s="135"/>
    </row>
    <row r="605" ht="15.75" customHeight="1">
      <c r="A605" s="135"/>
      <c r="B605" s="135"/>
      <c r="C605" s="135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  <c r="Z605" s="135"/>
      <c r="AA605" s="135"/>
      <c r="AB605" s="135"/>
      <c r="AC605" s="135"/>
    </row>
    <row r="606" ht="15.75" customHeight="1">
      <c r="A606" s="135"/>
      <c r="B606" s="135"/>
      <c r="C606" s="135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  <c r="Y606" s="135"/>
      <c r="Z606" s="135"/>
      <c r="AA606" s="135"/>
      <c r="AB606" s="135"/>
      <c r="AC606" s="135"/>
    </row>
    <row r="607" ht="15.75" customHeight="1">
      <c r="A607" s="135"/>
      <c r="B607" s="135"/>
      <c r="C607" s="135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  <c r="Y607" s="135"/>
      <c r="Z607" s="135"/>
      <c r="AA607" s="135"/>
      <c r="AB607" s="135"/>
      <c r="AC607" s="135"/>
    </row>
    <row r="608" ht="15.75" customHeight="1">
      <c r="A608" s="135"/>
      <c r="B608" s="135"/>
      <c r="C608" s="135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  <c r="Y608" s="135"/>
      <c r="Z608" s="135"/>
      <c r="AA608" s="135"/>
      <c r="AB608" s="135"/>
      <c r="AC608" s="135"/>
    </row>
    <row r="609" ht="15.75" customHeight="1">
      <c r="A609" s="135"/>
      <c r="B609" s="135"/>
      <c r="C609" s="135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  <c r="Z609" s="135"/>
      <c r="AA609" s="135"/>
      <c r="AB609" s="135"/>
      <c r="AC609" s="135"/>
    </row>
    <row r="610" ht="15.75" customHeight="1">
      <c r="A610" s="135"/>
      <c r="B610" s="135"/>
      <c r="C610" s="135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  <c r="Z610" s="135"/>
      <c r="AA610" s="135"/>
      <c r="AB610" s="135"/>
      <c r="AC610" s="135"/>
    </row>
    <row r="611" ht="15.75" customHeight="1">
      <c r="A611" s="135"/>
      <c r="B611" s="135"/>
      <c r="C611" s="135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  <c r="Y611" s="135"/>
      <c r="Z611" s="135"/>
      <c r="AA611" s="135"/>
      <c r="AB611" s="135"/>
      <c r="AC611" s="135"/>
    </row>
    <row r="612" ht="15.75" customHeight="1">
      <c r="A612" s="135"/>
      <c r="B612" s="135"/>
      <c r="C612" s="135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  <c r="Y612" s="135"/>
      <c r="Z612" s="135"/>
      <c r="AA612" s="135"/>
      <c r="AB612" s="135"/>
      <c r="AC612" s="135"/>
    </row>
    <row r="613" ht="15.75" customHeight="1">
      <c r="A613" s="135"/>
      <c r="B613" s="135"/>
      <c r="C613" s="135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  <c r="Z613" s="135"/>
      <c r="AA613" s="135"/>
      <c r="AB613" s="135"/>
      <c r="AC613" s="135"/>
    </row>
    <row r="614" ht="15.75" customHeight="1">
      <c r="A614" s="135"/>
      <c r="B614" s="135"/>
      <c r="C614" s="135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  <c r="Z614" s="135"/>
      <c r="AA614" s="135"/>
      <c r="AB614" s="135"/>
      <c r="AC614" s="135"/>
    </row>
    <row r="615" ht="15.75" customHeight="1">
      <c r="A615" s="135"/>
      <c r="B615" s="135"/>
      <c r="C615" s="135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  <c r="Y615" s="135"/>
      <c r="Z615" s="135"/>
      <c r="AA615" s="135"/>
      <c r="AB615" s="135"/>
      <c r="AC615" s="135"/>
    </row>
    <row r="616" ht="15.75" customHeight="1">
      <c r="A616" s="135"/>
      <c r="B616" s="135"/>
      <c r="C616" s="135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  <c r="Y616" s="135"/>
      <c r="Z616" s="135"/>
      <c r="AA616" s="135"/>
      <c r="AB616" s="135"/>
      <c r="AC616" s="135"/>
    </row>
    <row r="617" ht="15.75" customHeight="1">
      <c r="A617" s="135"/>
      <c r="B617" s="135"/>
      <c r="C617" s="135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  <c r="Y617" s="135"/>
      <c r="Z617" s="135"/>
      <c r="AA617" s="135"/>
      <c r="AB617" s="135"/>
      <c r="AC617" s="135"/>
    </row>
    <row r="618" ht="15.75" customHeight="1">
      <c r="A618" s="135"/>
      <c r="B618" s="135"/>
      <c r="C618" s="135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  <c r="Y618" s="135"/>
      <c r="Z618" s="135"/>
      <c r="AA618" s="135"/>
      <c r="AB618" s="135"/>
      <c r="AC618" s="135"/>
    </row>
    <row r="619" ht="15.75" customHeight="1">
      <c r="A619" s="135"/>
      <c r="B619" s="135"/>
      <c r="C619" s="135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  <c r="Y619" s="135"/>
      <c r="Z619" s="135"/>
      <c r="AA619" s="135"/>
      <c r="AB619" s="135"/>
      <c r="AC619" s="135"/>
    </row>
    <row r="620" ht="15.75" customHeight="1">
      <c r="A620" s="135"/>
      <c r="B620" s="135"/>
      <c r="C620" s="135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  <c r="X620" s="135"/>
      <c r="Y620" s="135"/>
      <c r="Z620" s="135"/>
      <c r="AA620" s="135"/>
      <c r="AB620" s="135"/>
      <c r="AC620" s="135"/>
    </row>
    <row r="621" ht="15.75" customHeight="1">
      <c r="A621" s="135"/>
      <c r="B621" s="135"/>
      <c r="C621" s="135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  <c r="Y621" s="135"/>
      <c r="Z621" s="135"/>
      <c r="AA621" s="135"/>
      <c r="AB621" s="135"/>
      <c r="AC621" s="135"/>
    </row>
    <row r="622" ht="15.75" customHeight="1">
      <c r="A622" s="135"/>
      <c r="B622" s="135"/>
      <c r="C622" s="135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  <c r="W622" s="135"/>
      <c r="X622" s="135"/>
      <c r="Y622" s="135"/>
      <c r="Z622" s="135"/>
      <c r="AA622" s="135"/>
      <c r="AB622" s="135"/>
      <c r="AC622" s="135"/>
    </row>
    <row r="623" ht="15.75" customHeight="1">
      <c r="A623" s="135"/>
      <c r="B623" s="135"/>
      <c r="C623" s="135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  <c r="W623" s="135"/>
      <c r="X623" s="135"/>
      <c r="Y623" s="135"/>
      <c r="Z623" s="135"/>
      <c r="AA623" s="135"/>
      <c r="AB623" s="135"/>
      <c r="AC623" s="135"/>
    </row>
    <row r="624" ht="15.75" customHeight="1">
      <c r="A624" s="135"/>
      <c r="B624" s="135"/>
      <c r="C624" s="135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  <c r="Y624" s="135"/>
      <c r="Z624" s="135"/>
      <c r="AA624" s="135"/>
      <c r="AB624" s="135"/>
      <c r="AC624" s="135"/>
    </row>
    <row r="625" ht="15.75" customHeight="1">
      <c r="A625" s="135"/>
      <c r="B625" s="135"/>
      <c r="C625" s="135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  <c r="Z625" s="135"/>
      <c r="AA625" s="135"/>
      <c r="AB625" s="135"/>
      <c r="AC625" s="135"/>
    </row>
    <row r="626" ht="15.75" customHeight="1">
      <c r="A626" s="135"/>
      <c r="B626" s="135"/>
      <c r="C626" s="135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  <c r="Y626" s="135"/>
      <c r="Z626" s="135"/>
      <c r="AA626" s="135"/>
      <c r="AB626" s="135"/>
      <c r="AC626" s="135"/>
    </row>
    <row r="627" ht="15.75" customHeight="1">
      <c r="A627" s="135"/>
      <c r="B627" s="135"/>
      <c r="C627" s="135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  <c r="W627" s="135"/>
      <c r="X627" s="135"/>
      <c r="Y627" s="135"/>
      <c r="Z627" s="135"/>
      <c r="AA627" s="135"/>
      <c r="AB627" s="135"/>
      <c r="AC627" s="135"/>
    </row>
    <row r="628" ht="15.75" customHeight="1">
      <c r="A628" s="135"/>
      <c r="B628" s="135"/>
      <c r="C628" s="135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  <c r="W628" s="135"/>
      <c r="X628" s="135"/>
      <c r="Y628" s="135"/>
      <c r="Z628" s="135"/>
      <c r="AA628" s="135"/>
      <c r="AB628" s="135"/>
      <c r="AC628" s="135"/>
    </row>
    <row r="629" ht="15.75" customHeight="1">
      <c r="A629" s="135"/>
      <c r="B629" s="135"/>
      <c r="C629" s="135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  <c r="Y629" s="135"/>
      <c r="Z629" s="135"/>
      <c r="AA629" s="135"/>
      <c r="AB629" s="135"/>
      <c r="AC629" s="135"/>
    </row>
    <row r="630" ht="15.75" customHeight="1">
      <c r="A630" s="135"/>
      <c r="B630" s="135"/>
      <c r="C630" s="135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  <c r="Y630" s="135"/>
      <c r="Z630" s="135"/>
      <c r="AA630" s="135"/>
      <c r="AB630" s="135"/>
      <c r="AC630" s="135"/>
    </row>
    <row r="631" ht="15.75" customHeight="1">
      <c r="A631" s="135"/>
      <c r="B631" s="135"/>
      <c r="C631" s="135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  <c r="Y631" s="135"/>
      <c r="Z631" s="135"/>
      <c r="AA631" s="135"/>
      <c r="AB631" s="135"/>
      <c r="AC631" s="135"/>
    </row>
    <row r="632" ht="15.75" customHeight="1">
      <c r="A632" s="135"/>
      <c r="B632" s="135"/>
      <c r="C632" s="135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  <c r="Y632" s="135"/>
      <c r="Z632" s="135"/>
      <c r="AA632" s="135"/>
      <c r="AB632" s="135"/>
      <c r="AC632" s="135"/>
    </row>
    <row r="633" ht="15.75" customHeight="1">
      <c r="A633" s="135"/>
      <c r="B633" s="135"/>
      <c r="C633" s="135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  <c r="Y633" s="135"/>
      <c r="Z633" s="135"/>
      <c r="AA633" s="135"/>
      <c r="AB633" s="135"/>
      <c r="AC633" s="135"/>
    </row>
    <row r="634" ht="15.75" customHeight="1">
      <c r="A634" s="135"/>
      <c r="B634" s="135"/>
      <c r="C634" s="135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  <c r="Y634" s="135"/>
      <c r="Z634" s="135"/>
      <c r="AA634" s="135"/>
      <c r="AB634" s="135"/>
      <c r="AC634" s="135"/>
    </row>
    <row r="635" ht="15.75" customHeight="1">
      <c r="A635" s="135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</row>
    <row r="636" ht="15.75" customHeight="1">
      <c r="A636" s="135"/>
      <c r="B636" s="135"/>
      <c r="C636" s="135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  <c r="Y636" s="135"/>
      <c r="Z636" s="135"/>
      <c r="AA636" s="135"/>
      <c r="AB636" s="135"/>
      <c r="AC636" s="135"/>
    </row>
    <row r="637" ht="15.75" customHeight="1">
      <c r="A637" s="135"/>
      <c r="B637" s="135"/>
      <c r="C637" s="135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  <c r="Y637" s="135"/>
      <c r="Z637" s="135"/>
      <c r="AA637" s="135"/>
      <c r="AB637" s="135"/>
      <c r="AC637" s="135"/>
    </row>
    <row r="638" ht="15.75" customHeight="1">
      <c r="A638" s="135"/>
      <c r="B638" s="135"/>
      <c r="C638" s="135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  <c r="Y638" s="135"/>
      <c r="Z638" s="135"/>
      <c r="AA638" s="135"/>
      <c r="AB638" s="135"/>
      <c r="AC638" s="135"/>
    </row>
    <row r="639" ht="15.75" customHeight="1">
      <c r="A639" s="135"/>
      <c r="B639" s="135"/>
      <c r="C639" s="135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  <c r="Y639" s="135"/>
      <c r="Z639" s="135"/>
      <c r="AA639" s="135"/>
      <c r="AB639" s="135"/>
      <c r="AC639" s="135"/>
    </row>
    <row r="640" ht="15.75" customHeight="1">
      <c r="A640" s="135"/>
      <c r="B640" s="135"/>
      <c r="C640" s="135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  <c r="W640" s="135"/>
      <c r="X640" s="135"/>
      <c r="Y640" s="135"/>
      <c r="Z640" s="135"/>
      <c r="AA640" s="135"/>
      <c r="AB640" s="135"/>
      <c r="AC640" s="135"/>
    </row>
    <row r="641" ht="15.75" customHeight="1">
      <c r="A641" s="135"/>
      <c r="B641" s="135"/>
      <c r="C641" s="135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  <c r="W641" s="135"/>
      <c r="X641" s="135"/>
      <c r="Y641" s="135"/>
      <c r="Z641" s="135"/>
      <c r="AA641" s="135"/>
      <c r="AB641" s="135"/>
      <c r="AC641" s="135"/>
    </row>
    <row r="642" ht="15.75" customHeight="1">
      <c r="A642" s="135"/>
      <c r="B642" s="135"/>
      <c r="C642" s="135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  <c r="W642" s="135"/>
      <c r="X642" s="135"/>
      <c r="Y642" s="135"/>
      <c r="Z642" s="135"/>
      <c r="AA642" s="135"/>
      <c r="AB642" s="135"/>
      <c r="AC642" s="135"/>
    </row>
    <row r="643" ht="15.75" customHeight="1">
      <c r="A643" s="135"/>
      <c r="B643" s="135"/>
      <c r="C643" s="135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  <c r="W643" s="135"/>
      <c r="X643" s="135"/>
      <c r="Y643" s="135"/>
      <c r="Z643" s="135"/>
      <c r="AA643" s="135"/>
      <c r="AB643" s="135"/>
      <c r="AC643" s="135"/>
    </row>
    <row r="644" ht="15.75" customHeight="1">
      <c r="A644" s="135"/>
      <c r="B644" s="135"/>
      <c r="C644" s="135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  <c r="Y644" s="135"/>
      <c r="Z644" s="135"/>
      <c r="AA644" s="135"/>
      <c r="AB644" s="135"/>
      <c r="AC644" s="135"/>
    </row>
    <row r="645" ht="15.75" customHeight="1">
      <c r="A645" s="135"/>
      <c r="B645" s="135"/>
      <c r="C645" s="135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  <c r="Y645" s="135"/>
      <c r="Z645" s="135"/>
      <c r="AA645" s="135"/>
      <c r="AB645" s="135"/>
      <c r="AC645" s="135"/>
    </row>
    <row r="646" ht="15.75" customHeight="1">
      <c r="A646" s="135"/>
      <c r="B646" s="135"/>
      <c r="C646" s="135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  <c r="X646" s="135"/>
      <c r="Y646" s="135"/>
      <c r="Z646" s="135"/>
      <c r="AA646" s="135"/>
      <c r="AB646" s="135"/>
      <c r="AC646" s="135"/>
    </row>
    <row r="647" ht="15.75" customHeight="1">
      <c r="A647" s="135"/>
      <c r="B647" s="135"/>
      <c r="C647" s="135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  <c r="W647" s="135"/>
      <c r="X647" s="135"/>
      <c r="Y647" s="135"/>
      <c r="Z647" s="135"/>
      <c r="AA647" s="135"/>
      <c r="AB647" s="135"/>
      <c r="AC647" s="135"/>
    </row>
    <row r="648" ht="15.75" customHeight="1">
      <c r="A648" s="135"/>
      <c r="B648" s="135"/>
      <c r="C648" s="135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  <c r="Y648" s="135"/>
      <c r="Z648" s="135"/>
      <c r="AA648" s="135"/>
      <c r="AB648" s="135"/>
      <c r="AC648" s="135"/>
    </row>
    <row r="649" ht="15.75" customHeight="1">
      <c r="A649" s="135"/>
      <c r="B649" s="135"/>
      <c r="C649" s="135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  <c r="Y649" s="135"/>
      <c r="Z649" s="135"/>
      <c r="AA649" s="135"/>
      <c r="AB649" s="135"/>
      <c r="AC649" s="135"/>
    </row>
    <row r="650" ht="15.75" customHeight="1">
      <c r="A650" s="135"/>
      <c r="B650" s="135"/>
      <c r="C650" s="135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  <c r="Y650" s="135"/>
      <c r="Z650" s="135"/>
      <c r="AA650" s="135"/>
      <c r="AB650" s="135"/>
      <c r="AC650" s="135"/>
    </row>
    <row r="651" ht="15.75" customHeight="1">
      <c r="A651" s="135"/>
      <c r="B651" s="135"/>
      <c r="C651" s="135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  <c r="Y651" s="135"/>
      <c r="Z651" s="135"/>
      <c r="AA651" s="135"/>
      <c r="AB651" s="135"/>
      <c r="AC651" s="135"/>
    </row>
    <row r="652" ht="15.75" customHeight="1">
      <c r="A652" s="135"/>
      <c r="B652" s="135"/>
      <c r="C652" s="135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  <c r="Y652" s="135"/>
      <c r="Z652" s="135"/>
      <c r="AA652" s="135"/>
      <c r="AB652" s="135"/>
      <c r="AC652" s="135"/>
    </row>
    <row r="653" ht="15.75" customHeight="1">
      <c r="A653" s="135"/>
      <c r="B653" s="135"/>
      <c r="C653" s="135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  <c r="Z653" s="135"/>
      <c r="AA653" s="135"/>
      <c r="AB653" s="135"/>
      <c r="AC653" s="135"/>
    </row>
    <row r="654" ht="15.75" customHeight="1">
      <c r="A654" s="135"/>
      <c r="B654" s="135"/>
      <c r="C654" s="135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  <c r="Y654" s="135"/>
      <c r="Z654" s="135"/>
      <c r="AA654" s="135"/>
      <c r="AB654" s="135"/>
      <c r="AC654" s="135"/>
    </row>
    <row r="655" ht="15.75" customHeight="1">
      <c r="A655" s="135"/>
      <c r="B655" s="135"/>
      <c r="C655" s="135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  <c r="Y655" s="135"/>
      <c r="Z655" s="135"/>
      <c r="AA655" s="135"/>
      <c r="AB655" s="135"/>
      <c r="AC655" s="135"/>
    </row>
    <row r="656" ht="15.75" customHeight="1">
      <c r="A656" s="135"/>
      <c r="B656" s="135"/>
      <c r="C656" s="135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  <c r="Y656" s="135"/>
      <c r="Z656" s="135"/>
      <c r="AA656" s="135"/>
      <c r="AB656" s="135"/>
      <c r="AC656" s="135"/>
    </row>
    <row r="657" ht="15.75" customHeight="1">
      <c r="A657" s="135"/>
      <c r="B657" s="135"/>
      <c r="C657" s="135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  <c r="Y657" s="135"/>
      <c r="Z657" s="135"/>
      <c r="AA657" s="135"/>
      <c r="AB657" s="135"/>
      <c r="AC657" s="135"/>
    </row>
    <row r="658" ht="15.75" customHeight="1">
      <c r="A658" s="135"/>
      <c r="B658" s="135"/>
      <c r="C658" s="135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  <c r="W658" s="135"/>
      <c r="X658" s="135"/>
      <c r="Y658" s="135"/>
      <c r="Z658" s="135"/>
      <c r="AA658" s="135"/>
      <c r="AB658" s="135"/>
      <c r="AC658" s="135"/>
    </row>
    <row r="659" ht="15.75" customHeight="1">
      <c r="A659" s="135"/>
      <c r="B659" s="135"/>
      <c r="C659" s="135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  <c r="W659" s="135"/>
      <c r="X659" s="135"/>
      <c r="Y659" s="135"/>
      <c r="Z659" s="135"/>
      <c r="AA659" s="135"/>
      <c r="AB659" s="135"/>
      <c r="AC659" s="135"/>
    </row>
    <row r="660" ht="15.75" customHeight="1">
      <c r="A660" s="135"/>
      <c r="B660" s="135"/>
      <c r="C660" s="135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  <c r="X660" s="135"/>
      <c r="Y660" s="135"/>
      <c r="Z660" s="135"/>
      <c r="AA660" s="135"/>
      <c r="AB660" s="135"/>
      <c r="AC660" s="135"/>
    </row>
    <row r="661" ht="15.75" customHeight="1">
      <c r="A661" s="135"/>
      <c r="B661" s="135"/>
      <c r="C661" s="135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  <c r="W661" s="135"/>
      <c r="X661" s="135"/>
      <c r="Y661" s="135"/>
      <c r="Z661" s="135"/>
      <c r="AA661" s="135"/>
      <c r="AB661" s="135"/>
      <c r="AC661" s="135"/>
    </row>
    <row r="662" ht="15.75" customHeight="1">
      <c r="A662" s="135"/>
      <c r="B662" s="135"/>
      <c r="C662" s="135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  <c r="Y662" s="135"/>
      <c r="Z662" s="135"/>
      <c r="AA662" s="135"/>
      <c r="AB662" s="135"/>
      <c r="AC662" s="135"/>
    </row>
    <row r="663" ht="15.75" customHeight="1">
      <c r="A663" s="135"/>
      <c r="B663" s="135"/>
      <c r="C663" s="135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  <c r="W663" s="135"/>
      <c r="X663" s="135"/>
      <c r="Y663" s="135"/>
      <c r="Z663" s="135"/>
      <c r="AA663" s="135"/>
      <c r="AB663" s="135"/>
      <c r="AC663" s="135"/>
    </row>
    <row r="664" ht="15.75" customHeight="1">
      <c r="A664" s="135"/>
      <c r="B664" s="135"/>
      <c r="C664" s="135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  <c r="W664" s="135"/>
      <c r="X664" s="135"/>
      <c r="Y664" s="135"/>
      <c r="Z664" s="135"/>
      <c r="AA664" s="135"/>
      <c r="AB664" s="135"/>
      <c r="AC664" s="135"/>
    </row>
    <row r="665" ht="15.75" customHeight="1">
      <c r="A665" s="135"/>
      <c r="B665" s="135"/>
      <c r="C665" s="135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  <c r="W665" s="135"/>
      <c r="X665" s="135"/>
      <c r="Y665" s="135"/>
      <c r="Z665" s="135"/>
      <c r="AA665" s="135"/>
      <c r="AB665" s="135"/>
      <c r="AC665" s="135"/>
    </row>
    <row r="666" ht="15.75" customHeight="1">
      <c r="A666" s="135"/>
      <c r="B666" s="135"/>
      <c r="C666" s="135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  <c r="Y666" s="135"/>
      <c r="Z666" s="135"/>
      <c r="AA666" s="135"/>
      <c r="AB666" s="135"/>
      <c r="AC666" s="135"/>
    </row>
    <row r="667" ht="15.75" customHeight="1">
      <c r="A667" s="135"/>
      <c r="B667" s="135"/>
      <c r="C667" s="135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  <c r="Y667" s="135"/>
      <c r="Z667" s="135"/>
      <c r="AA667" s="135"/>
      <c r="AB667" s="135"/>
      <c r="AC667" s="135"/>
    </row>
    <row r="668" ht="15.75" customHeight="1">
      <c r="A668" s="135"/>
      <c r="B668" s="135"/>
      <c r="C668" s="135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  <c r="X668" s="135"/>
      <c r="Y668" s="135"/>
      <c r="Z668" s="135"/>
      <c r="AA668" s="135"/>
      <c r="AB668" s="135"/>
      <c r="AC668" s="135"/>
    </row>
    <row r="669" ht="15.75" customHeight="1">
      <c r="A669" s="135"/>
      <c r="B669" s="135"/>
      <c r="C669" s="135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  <c r="W669" s="135"/>
      <c r="X669" s="135"/>
      <c r="Y669" s="135"/>
      <c r="Z669" s="135"/>
      <c r="AA669" s="135"/>
      <c r="AB669" s="135"/>
      <c r="AC669" s="135"/>
    </row>
    <row r="670" ht="15.75" customHeight="1">
      <c r="A670" s="135"/>
      <c r="B670" s="135"/>
      <c r="C670" s="135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  <c r="W670" s="135"/>
      <c r="X670" s="135"/>
      <c r="Y670" s="135"/>
      <c r="Z670" s="135"/>
      <c r="AA670" s="135"/>
      <c r="AB670" s="135"/>
      <c r="AC670" s="135"/>
    </row>
    <row r="671" ht="15.75" customHeight="1">
      <c r="A671" s="135"/>
      <c r="B671" s="135"/>
      <c r="C671" s="135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  <c r="W671" s="135"/>
      <c r="X671" s="135"/>
      <c r="Y671" s="135"/>
      <c r="Z671" s="135"/>
      <c r="AA671" s="135"/>
      <c r="AB671" s="135"/>
      <c r="AC671" s="135"/>
    </row>
    <row r="672" ht="15.75" customHeight="1">
      <c r="A672" s="135"/>
      <c r="B672" s="135"/>
      <c r="C672" s="135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  <c r="W672" s="135"/>
      <c r="X672" s="135"/>
      <c r="Y672" s="135"/>
      <c r="Z672" s="135"/>
      <c r="AA672" s="135"/>
      <c r="AB672" s="135"/>
      <c r="AC672" s="135"/>
    </row>
    <row r="673" ht="15.75" customHeight="1">
      <c r="A673" s="135"/>
      <c r="B673" s="135"/>
      <c r="C673" s="135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  <c r="Y673" s="135"/>
      <c r="Z673" s="135"/>
      <c r="AA673" s="135"/>
      <c r="AB673" s="135"/>
      <c r="AC673" s="135"/>
    </row>
    <row r="674" ht="15.75" customHeight="1">
      <c r="A674" s="135"/>
      <c r="B674" s="135"/>
      <c r="C674" s="135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  <c r="W674" s="135"/>
      <c r="X674" s="135"/>
      <c r="Y674" s="135"/>
      <c r="Z674" s="135"/>
      <c r="AA674" s="135"/>
      <c r="AB674" s="135"/>
      <c r="AC674" s="135"/>
    </row>
    <row r="675" ht="15.75" customHeight="1">
      <c r="A675" s="135"/>
      <c r="B675" s="135"/>
      <c r="C675" s="135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  <c r="W675" s="135"/>
      <c r="X675" s="135"/>
      <c r="Y675" s="135"/>
      <c r="Z675" s="135"/>
      <c r="AA675" s="135"/>
      <c r="AB675" s="135"/>
      <c r="AC675" s="135"/>
    </row>
    <row r="676" ht="15.75" customHeight="1">
      <c r="A676" s="135"/>
      <c r="B676" s="135"/>
      <c r="C676" s="135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  <c r="X676" s="135"/>
      <c r="Y676" s="135"/>
      <c r="Z676" s="135"/>
      <c r="AA676" s="135"/>
      <c r="AB676" s="135"/>
      <c r="AC676" s="135"/>
    </row>
    <row r="677" ht="15.75" customHeight="1">
      <c r="A677" s="135"/>
      <c r="B677" s="135"/>
      <c r="C677" s="135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  <c r="W677" s="135"/>
      <c r="X677" s="135"/>
      <c r="Y677" s="135"/>
      <c r="Z677" s="135"/>
      <c r="AA677" s="135"/>
      <c r="AB677" s="135"/>
      <c r="AC677" s="135"/>
    </row>
    <row r="678" ht="15.75" customHeight="1">
      <c r="A678" s="135"/>
      <c r="B678" s="135"/>
      <c r="C678" s="135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  <c r="W678" s="135"/>
      <c r="X678" s="135"/>
      <c r="Y678" s="135"/>
      <c r="Z678" s="135"/>
      <c r="AA678" s="135"/>
      <c r="AB678" s="135"/>
      <c r="AC678" s="135"/>
    </row>
    <row r="679" ht="15.75" customHeight="1">
      <c r="A679" s="135"/>
      <c r="B679" s="135"/>
      <c r="C679" s="135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  <c r="V679" s="135"/>
      <c r="W679" s="135"/>
      <c r="X679" s="135"/>
      <c r="Y679" s="135"/>
      <c r="Z679" s="135"/>
      <c r="AA679" s="135"/>
      <c r="AB679" s="135"/>
      <c r="AC679" s="135"/>
    </row>
    <row r="680" ht="15.75" customHeight="1">
      <c r="A680" s="135"/>
      <c r="B680" s="135"/>
      <c r="C680" s="135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  <c r="W680" s="135"/>
      <c r="X680" s="135"/>
      <c r="Y680" s="135"/>
      <c r="Z680" s="135"/>
      <c r="AA680" s="135"/>
      <c r="AB680" s="135"/>
      <c r="AC680" s="135"/>
    </row>
    <row r="681" ht="15.75" customHeight="1">
      <c r="A681" s="135"/>
      <c r="B681" s="135"/>
      <c r="C681" s="135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  <c r="W681" s="135"/>
      <c r="X681" s="135"/>
      <c r="Y681" s="135"/>
      <c r="Z681" s="135"/>
      <c r="AA681" s="135"/>
      <c r="AB681" s="135"/>
      <c r="AC681" s="135"/>
    </row>
    <row r="682" ht="15.75" customHeight="1">
      <c r="A682" s="135"/>
      <c r="B682" s="135"/>
      <c r="C682" s="135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  <c r="W682" s="135"/>
      <c r="X682" s="135"/>
      <c r="Y682" s="135"/>
      <c r="Z682" s="135"/>
      <c r="AA682" s="135"/>
      <c r="AB682" s="135"/>
      <c r="AC682" s="135"/>
    </row>
    <row r="683" ht="15.75" customHeight="1">
      <c r="A683" s="135"/>
      <c r="B683" s="135"/>
      <c r="C683" s="135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  <c r="Y683" s="135"/>
      <c r="Z683" s="135"/>
      <c r="AA683" s="135"/>
      <c r="AB683" s="135"/>
      <c r="AC683" s="135"/>
    </row>
    <row r="684" ht="15.75" customHeight="1">
      <c r="A684" s="135"/>
      <c r="B684" s="135"/>
      <c r="C684" s="135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  <c r="X684" s="135"/>
      <c r="Y684" s="135"/>
      <c r="Z684" s="135"/>
      <c r="AA684" s="135"/>
      <c r="AB684" s="135"/>
      <c r="AC684" s="135"/>
    </row>
    <row r="685" ht="15.75" customHeight="1">
      <c r="A685" s="135"/>
      <c r="B685" s="135"/>
      <c r="C685" s="135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  <c r="W685" s="135"/>
      <c r="X685" s="135"/>
      <c r="Y685" s="135"/>
      <c r="Z685" s="135"/>
      <c r="AA685" s="135"/>
      <c r="AB685" s="135"/>
      <c r="AC685" s="135"/>
    </row>
    <row r="686" ht="15.75" customHeight="1">
      <c r="A686" s="135"/>
      <c r="B686" s="135"/>
      <c r="C686" s="135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  <c r="X686" s="135"/>
      <c r="Y686" s="135"/>
      <c r="Z686" s="135"/>
      <c r="AA686" s="135"/>
      <c r="AB686" s="135"/>
      <c r="AC686" s="135"/>
    </row>
    <row r="687" ht="15.75" customHeight="1">
      <c r="A687" s="135"/>
      <c r="B687" s="135"/>
      <c r="C687" s="135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  <c r="W687" s="135"/>
      <c r="X687" s="135"/>
      <c r="Y687" s="135"/>
      <c r="Z687" s="135"/>
      <c r="AA687" s="135"/>
      <c r="AB687" s="135"/>
      <c r="AC687" s="135"/>
    </row>
    <row r="688" ht="15.75" customHeight="1">
      <c r="A688" s="135"/>
      <c r="B688" s="135"/>
      <c r="C688" s="135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  <c r="W688" s="135"/>
      <c r="X688" s="135"/>
      <c r="Y688" s="135"/>
      <c r="Z688" s="135"/>
      <c r="AA688" s="135"/>
      <c r="AB688" s="135"/>
      <c r="AC688" s="135"/>
    </row>
    <row r="689" ht="15.75" customHeight="1">
      <c r="A689" s="135"/>
      <c r="B689" s="135"/>
      <c r="C689" s="135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  <c r="W689" s="135"/>
      <c r="X689" s="135"/>
      <c r="Y689" s="135"/>
      <c r="Z689" s="135"/>
      <c r="AA689" s="135"/>
      <c r="AB689" s="135"/>
      <c r="AC689" s="135"/>
    </row>
    <row r="690" ht="15.75" customHeight="1">
      <c r="A690" s="135"/>
      <c r="B690" s="135"/>
      <c r="C690" s="135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  <c r="V690" s="135"/>
      <c r="W690" s="135"/>
      <c r="X690" s="135"/>
      <c r="Y690" s="135"/>
      <c r="Z690" s="135"/>
      <c r="AA690" s="135"/>
      <c r="AB690" s="135"/>
      <c r="AC690" s="135"/>
    </row>
    <row r="691" ht="15.75" customHeight="1">
      <c r="A691" s="135"/>
      <c r="B691" s="135"/>
      <c r="C691" s="135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  <c r="V691" s="135"/>
      <c r="W691" s="135"/>
      <c r="X691" s="135"/>
      <c r="Y691" s="135"/>
      <c r="Z691" s="135"/>
      <c r="AA691" s="135"/>
      <c r="AB691" s="135"/>
      <c r="AC691" s="135"/>
    </row>
    <row r="692" ht="15.75" customHeight="1">
      <c r="A692" s="135"/>
      <c r="B692" s="135"/>
      <c r="C692" s="135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  <c r="W692" s="135"/>
      <c r="X692" s="135"/>
      <c r="Y692" s="135"/>
      <c r="Z692" s="135"/>
      <c r="AA692" s="135"/>
      <c r="AB692" s="135"/>
      <c r="AC692" s="135"/>
    </row>
    <row r="693" ht="15.75" customHeight="1">
      <c r="A693" s="135"/>
      <c r="B693" s="135"/>
      <c r="C693" s="135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  <c r="Y693" s="135"/>
      <c r="Z693" s="135"/>
      <c r="AA693" s="135"/>
      <c r="AB693" s="135"/>
      <c r="AC693" s="135"/>
    </row>
    <row r="694" ht="15.75" customHeight="1">
      <c r="A694" s="135"/>
      <c r="B694" s="135"/>
      <c r="C694" s="135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  <c r="W694" s="135"/>
      <c r="X694" s="135"/>
      <c r="Y694" s="135"/>
      <c r="Z694" s="135"/>
      <c r="AA694" s="135"/>
      <c r="AB694" s="135"/>
      <c r="AC694" s="135"/>
    </row>
    <row r="695" ht="15.75" customHeight="1">
      <c r="A695" s="135"/>
      <c r="B695" s="135"/>
      <c r="C695" s="135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  <c r="W695" s="135"/>
      <c r="X695" s="135"/>
      <c r="Y695" s="135"/>
      <c r="Z695" s="135"/>
      <c r="AA695" s="135"/>
      <c r="AB695" s="135"/>
      <c r="AC695" s="135"/>
    </row>
    <row r="696" ht="15.75" customHeight="1">
      <c r="A696" s="135"/>
      <c r="B696" s="135"/>
      <c r="C696" s="135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  <c r="X696" s="135"/>
      <c r="Y696" s="135"/>
      <c r="Z696" s="135"/>
      <c r="AA696" s="135"/>
      <c r="AB696" s="135"/>
      <c r="AC696" s="135"/>
    </row>
    <row r="697" ht="15.75" customHeight="1">
      <c r="A697" s="135"/>
      <c r="B697" s="135"/>
      <c r="C697" s="135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  <c r="W697" s="135"/>
      <c r="X697" s="135"/>
      <c r="Y697" s="135"/>
      <c r="Z697" s="135"/>
      <c r="AA697" s="135"/>
      <c r="AB697" s="135"/>
      <c r="AC697" s="135"/>
    </row>
    <row r="698" ht="15.75" customHeight="1">
      <c r="A698" s="135"/>
      <c r="B698" s="135"/>
      <c r="C698" s="135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  <c r="W698" s="135"/>
      <c r="X698" s="135"/>
      <c r="Y698" s="135"/>
      <c r="Z698" s="135"/>
      <c r="AA698" s="135"/>
      <c r="AB698" s="135"/>
      <c r="AC698" s="135"/>
    </row>
    <row r="699" ht="15.75" customHeight="1">
      <c r="A699" s="135"/>
      <c r="B699" s="135"/>
      <c r="C699" s="135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  <c r="W699" s="135"/>
      <c r="X699" s="135"/>
      <c r="Y699" s="135"/>
      <c r="Z699" s="135"/>
      <c r="AA699" s="135"/>
      <c r="AB699" s="135"/>
      <c r="AC699" s="135"/>
    </row>
    <row r="700" ht="15.75" customHeight="1">
      <c r="A700" s="135"/>
      <c r="B700" s="135"/>
      <c r="C700" s="135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  <c r="Y700" s="135"/>
      <c r="Z700" s="135"/>
      <c r="AA700" s="135"/>
      <c r="AB700" s="135"/>
      <c r="AC700" s="135"/>
    </row>
    <row r="701" ht="15.75" customHeight="1">
      <c r="A701" s="135"/>
      <c r="B701" s="135"/>
      <c r="C701" s="135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  <c r="Y701" s="135"/>
      <c r="Z701" s="135"/>
      <c r="AA701" s="135"/>
      <c r="AB701" s="135"/>
      <c r="AC701" s="135"/>
    </row>
    <row r="702" ht="15.75" customHeight="1">
      <c r="A702" s="135"/>
      <c r="B702" s="135"/>
      <c r="C702" s="135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  <c r="V702" s="135"/>
      <c r="W702" s="135"/>
      <c r="X702" s="135"/>
      <c r="Y702" s="135"/>
      <c r="Z702" s="135"/>
      <c r="AA702" s="135"/>
      <c r="AB702" s="135"/>
      <c r="AC702" s="135"/>
    </row>
    <row r="703" ht="15.75" customHeight="1">
      <c r="A703" s="135"/>
      <c r="B703" s="135"/>
      <c r="C703" s="135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  <c r="V703" s="135"/>
      <c r="W703" s="135"/>
      <c r="X703" s="135"/>
      <c r="Y703" s="135"/>
      <c r="Z703" s="135"/>
      <c r="AA703" s="135"/>
      <c r="AB703" s="135"/>
      <c r="AC703" s="135"/>
    </row>
    <row r="704" ht="15.75" customHeight="1">
      <c r="A704" s="135"/>
      <c r="B704" s="135"/>
      <c r="C704" s="135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  <c r="Y704" s="135"/>
      <c r="Z704" s="135"/>
      <c r="AA704" s="135"/>
      <c r="AB704" s="135"/>
      <c r="AC704" s="135"/>
    </row>
    <row r="705" ht="15.75" customHeight="1">
      <c r="A705" s="135"/>
      <c r="B705" s="135"/>
      <c r="C705" s="135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  <c r="Y705" s="135"/>
      <c r="Z705" s="135"/>
      <c r="AA705" s="135"/>
      <c r="AB705" s="135"/>
      <c r="AC705" s="135"/>
    </row>
    <row r="706" ht="15.75" customHeight="1">
      <c r="A706" s="135"/>
      <c r="B706" s="135"/>
      <c r="C706" s="135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  <c r="X706" s="135"/>
      <c r="Y706" s="135"/>
      <c r="Z706" s="135"/>
      <c r="AA706" s="135"/>
      <c r="AB706" s="135"/>
      <c r="AC706" s="135"/>
    </row>
    <row r="707" ht="15.75" customHeight="1">
      <c r="A707" s="135"/>
      <c r="B707" s="135"/>
      <c r="C707" s="135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  <c r="W707" s="135"/>
      <c r="X707" s="135"/>
      <c r="Y707" s="135"/>
      <c r="Z707" s="135"/>
      <c r="AA707" s="135"/>
      <c r="AB707" s="135"/>
      <c r="AC707" s="135"/>
    </row>
    <row r="708" ht="15.75" customHeight="1">
      <c r="A708" s="135"/>
      <c r="B708" s="135"/>
      <c r="C708" s="135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  <c r="W708" s="135"/>
      <c r="X708" s="135"/>
      <c r="Y708" s="135"/>
      <c r="Z708" s="135"/>
      <c r="AA708" s="135"/>
      <c r="AB708" s="135"/>
      <c r="AC708" s="135"/>
    </row>
    <row r="709" ht="15.75" customHeight="1">
      <c r="A709" s="135"/>
      <c r="B709" s="135"/>
      <c r="C709" s="135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  <c r="W709" s="135"/>
      <c r="X709" s="135"/>
      <c r="Y709" s="135"/>
      <c r="Z709" s="135"/>
      <c r="AA709" s="135"/>
      <c r="AB709" s="135"/>
      <c r="AC709" s="135"/>
    </row>
    <row r="710" ht="15.75" customHeight="1">
      <c r="A710" s="135"/>
      <c r="B710" s="135"/>
      <c r="C710" s="135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  <c r="W710" s="135"/>
      <c r="X710" s="135"/>
      <c r="Y710" s="135"/>
      <c r="Z710" s="135"/>
      <c r="AA710" s="135"/>
      <c r="AB710" s="135"/>
      <c r="AC710" s="135"/>
    </row>
    <row r="711" ht="15.75" customHeight="1">
      <c r="A711" s="135"/>
      <c r="B711" s="135"/>
      <c r="C711" s="135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  <c r="W711" s="135"/>
      <c r="X711" s="135"/>
      <c r="Y711" s="135"/>
      <c r="Z711" s="135"/>
      <c r="AA711" s="135"/>
      <c r="AB711" s="135"/>
      <c r="AC711" s="135"/>
    </row>
    <row r="712" ht="15.75" customHeight="1">
      <c r="A712" s="135"/>
      <c r="B712" s="135"/>
      <c r="C712" s="135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  <c r="W712" s="135"/>
      <c r="X712" s="135"/>
      <c r="Y712" s="135"/>
      <c r="Z712" s="135"/>
      <c r="AA712" s="135"/>
      <c r="AB712" s="135"/>
      <c r="AC712" s="135"/>
    </row>
    <row r="713" ht="15.75" customHeight="1">
      <c r="A713" s="135"/>
      <c r="B713" s="135"/>
      <c r="C713" s="135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  <c r="Y713" s="135"/>
      <c r="Z713" s="135"/>
      <c r="AA713" s="135"/>
      <c r="AB713" s="135"/>
      <c r="AC713" s="135"/>
    </row>
    <row r="714" ht="15.75" customHeight="1">
      <c r="A714" s="135"/>
      <c r="B714" s="135"/>
      <c r="C714" s="135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  <c r="V714" s="135"/>
      <c r="W714" s="135"/>
      <c r="X714" s="135"/>
      <c r="Y714" s="135"/>
      <c r="Z714" s="135"/>
      <c r="AA714" s="135"/>
      <c r="AB714" s="135"/>
      <c r="AC714" s="135"/>
    </row>
    <row r="715" ht="15.75" customHeight="1">
      <c r="A715" s="135"/>
      <c r="B715" s="135"/>
      <c r="C715" s="135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  <c r="V715" s="135"/>
      <c r="W715" s="135"/>
      <c r="X715" s="135"/>
      <c r="Y715" s="135"/>
      <c r="Z715" s="135"/>
      <c r="AA715" s="135"/>
      <c r="AB715" s="135"/>
      <c r="AC715" s="135"/>
    </row>
    <row r="716" ht="15.75" customHeight="1">
      <c r="A716" s="135"/>
      <c r="B716" s="135"/>
      <c r="C716" s="135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  <c r="X716" s="135"/>
      <c r="Y716" s="135"/>
      <c r="Z716" s="135"/>
      <c r="AA716" s="135"/>
      <c r="AB716" s="135"/>
      <c r="AC716" s="135"/>
    </row>
    <row r="717" ht="15.75" customHeight="1">
      <c r="A717" s="135"/>
      <c r="B717" s="135"/>
      <c r="C717" s="135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  <c r="Y717" s="135"/>
      <c r="Z717" s="135"/>
      <c r="AA717" s="135"/>
      <c r="AB717" s="135"/>
      <c r="AC717" s="135"/>
    </row>
    <row r="718" ht="15.75" customHeight="1">
      <c r="A718" s="135"/>
      <c r="B718" s="135"/>
      <c r="C718" s="135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  <c r="W718" s="135"/>
      <c r="X718" s="135"/>
      <c r="Y718" s="135"/>
      <c r="Z718" s="135"/>
      <c r="AA718" s="135"/>
      <c r="AB718" s="135"/>
      <c r="AC718" s="135"/>
    </row>
    <row r="719" ht="15.75" customHeight="1">
      <c r="A719" s="135"/>
      <c r="B719" s="135"/>
      <c r="C719" s="135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  <c r="W719" s="135"/>
      <c r="X719" s="135"/>
      <c r="Y719" s="135"/>
      <c r="Z719" s="135"/>
      <c r="AA719" s="135"/>
      <c r="AB719" s="135"/>
      <c r="AC719" s="135"/>
    </row>
    <row r="720" ht="15.75" customHeight="1">
      <c r="A720" s="135"/>
      <c r="B720" s="135"/>
      <c r="C720" s="135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  <c r="W720" s="135"/>
      <c r="X720" s="135"/>
      <c r="Y720" s="135"/>
      <c r="Z720" s="135"/>
      <c r="AA720" s="135"/>
      <c r="AB720" s="135"/>
      <c r="AC720" s="135"/>
    </row>
    <row r="721" ht="15.75" customHeight="1">
      <c r="A721" s="135"/>
      <c r="B721" s="135"/>
      <c r="C721" s="135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  <c r="W721" s="135"/>
      <c r="X721" s="135"/>
      <c r="Y721" s="135"/>
      <c r="Z721" s="135"/>
      <c r="AA721" s="135"/>
      <c r="AB721" s="135"/>
      <c r="AC721" s="135"/>
    </row>
    <row r="722" ht="15.75" customHeight="1">
      <c r="A722" s="135"/>
      <c r="B722" s="135"/>
      <c r="C722" s="135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  <c r="W722" s="135"/>
      <c r="X722" s="135"/>
      <c r="Y722" s="135"/>
      <c r="Z722" s="135"/>
      <c r="AA722" s="135"/>
      <c r="AB722" s="135"/>
      <c r="AC722" s="135"/>
    </row>
    <row r="723" ht="15.75" customHeight="1">
      <c r="A723" s="135"/>
      <c r="B723" s="135"/>
      <c r="C723" s="135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  <c r="W723" s="135"/>
      <c r="X723" s="135"/>
      <c r="Y723" s="135"/>
      <c r="Z723" s="135"/>
      <c r="AA723" s="135"/>
      <c r="AB723" s="135"/>
      <c r="AC723" s="135"/>
    </row>
    <row r="724" ht="15.75" customHeight="1">
      <c r="A724" s="135"/>
      <c r="B724" s="135"/>
      <c r="C724" s="135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  <c r="W724" s="135"/>
      <c r="X724" s="135"/>
      <c r="Y724" s="135"/>
      <c r="Z724" s="135"/>
      <c r="AA724" s="135"/>
      <c r="AB724" s="135"/>
      <c r="AC724" s="135"/>
    </row>
    <row r="725" ht="15.75" customHeight="1">
      <c r="A725" s="135"/>
      <c r="B725" s="135"/>
      <c r="C725" s="135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  <c r="W725" s="135"/>
      <c r="X725" s="135"/>
      <c r="Y725" s="135"/>
      <c r="Z725" s="135"/>
      <c r="AA725" s="135"/>
      <c r="AB725" s="135"/>
      <c r="AC725" s="135"/>
    </row>
    <row r="726" ht="15.75" customHeight="1">
      <c r="A726" s="135"/>
      <c r="B726" s="135"/>
      <c r="C726" s="135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  <c r="X726" s="135"/>
      <c r="Y726" s="135"/>
      <c r="Z726" s="135"/>
      <c r="AA726" s="135"/>
      <c r="AB726" s="135"/>
      <c r="AC726" s="135"/>
    </row>
    <row r="727" ht="15.75" customHeight="1">
      <c r="A727" s="135"/>
      <c r="B727" s="135"/>
      <c r="C727" s="135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  <c r="W727" s="135"/>
      <c r="X727" s="135"/>
      <c r="Y727" s="135"/>
      <c r="Z727" s="135"/>
      <c r="AA727" s="135"/>
      <c r="AB727" s="135"/>
      <c r="AC727" s="135"/>
    </row>
    <row r="728" ht="15.75" customHeight="1">
      <c r="A728" s="135"/>
      <c r="B728" s="135"/>
      <c r="C728" s="135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  <c r="V728" s="135"/>
      <c r="W728" s="135"/>
      <c r="X728" s="135"/>
      <c r="Y728" s="135"/>
      <c r="Z728" s="135"/>
      <c r="AA728" s="135"/>
      <c r="AB728" s="135"/>
      <c r="AC728" s="135"/>
    </row>
    <row r="729" ht="15.75" customHeight="1">
      <c r="A729" s="135"/>
      <c r="B729" s="135"/>
      <c r="C729" s="135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  <c r="V729" s="135"/>
      <c r="W729" s="135"/>
      <c r="X729" s="135"/>
      <c r="Y729" s="135"/>
      <c r="Z729" s="135"/>
      <c r="AA729" s="135"/>
      <c r="AB729" s="135"/>
      <c r="AC729" s="135"/>
    </row>
    <row r="730" ht="15.75" customHeight="1">
      <c r="A730" s="135"/>
      <c r="B730" s="135"/>
      <c r="C730" s="135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  <c r="W730" s="135"/>
      <c r="X730" s="135"/>
      <c r="Y730" s="135"/>
      <c r="Z730" s="135"/>
      <c r="AA730" s="135"/>
      <c r="AB730" s="135"/>
      <c r="AC730" s="135"/>
    </row>
    <row r="731" ht="15.75" customHeight="1">
      <c r="A731" s="135"/>
      <c r="B731" s="135"/>
      <c r="C731" s="135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  <c r="W731" s="135"/>
      <c r="X731" s="135"/>
      <c r="Y731" s="135"/>
      <c r="Z731" s="135"/>
      <c r="AA731" s="135"/>
      <c r="AB731" s="135"/>
      <c r="AC731" s="135"/>
    </row>
    <row r="732" ht="15.75" customHeight="1">
      <c r="A732" s="135"/>
      <c r="B732" s="135"/>
      <c r="C732" s="135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  <c r="W732" s="135"/>
      <c r="X732" s="135"/>
      <c r="Y732" s="135"/>
      <c r="Z732" s="135"/>
      <c r="AA732" s="135"/>
      <c r="AB732" s="135"/>
      <c r="AC732" s="135"/>
    </row>
    <row r="733" ht="15.75" customHeight="1">
      <c r="A733" s="135"/>
      <c r="B733" s="135"/>
      <c r="C733" s="135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  <c r="Y733" s="135"/>
      <c r="Z733" s="135"/>
      <c r="AA733" s="135"/>
      <c r="AB733" s="135"/>
      <c r="AC733" s="135"/>
    </row>
    <row r="734" ht="15.75" customHeight="1">
      <c r="A734" s="135"/>
      <c r="B734" s="135"/>
      <c r="C734" s="135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  <c r="Y734" s="135"/>
      <c r="Z734" s="135"/>
      <c r="AA734" s="135"/>
      <c r="AB734" s="135"/>
      <c r="AC734" s="135"/>
    </row>
    <row r="735" ht="15.75" customHeight="1">
      <c r="A735" s="135"/>
      <c r="B735" s="135"/>
      <c r="C735" s="135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  <c r="Y735" s="135"/>
      <c r="Z735" s="135"/>
      <c r="AA735" s="135"/>
      <c r="AB735" s="135"/>
      <c r="AC735" s="135"/>
    </row>
    <row r="736" ht="15.75" customHeight="1">
      <c r="A736" s="135"/>
      <c r="B736" s="135"/>
      <c r="C736" s="135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  <c r="Y736" s="135"/>
      <c r="Z736" s="135"/>
      <c r="AA736" s="135"/>
      <c r="AB736" s="135"/>
      <c r="AC736" s="135"/>
    </row>
    <row r="737" ht="15.75" customHeight="1">
      <c r="A737" s="135"/>
      <c r="B737" s="135"/>
      <c r="C737" s="135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  <c r="W737" s="135"/>
      <c r="X737" s="135"/>
      <c r="Y737" s="135"/>
      <c r="Z737" s="135"/>
      <c r="AA737" s="135"/>
      <c r="AB737" s="135"/>
      <c r="AC737" s="135"/>
    </row>
    <row r="738" ht="15.75" customHeight="1">
      <c r="A738" s="135"/>
      <c r="B738" s="135"/>
      <c r="C738" s="135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  <c r="V738" s="135"/>
      <c r="W738" s="135"/>
      <c r="X738" s="135"/>
      <c r="Y738" s="135"/>
      <c r="Z738" s="135"/>
      <c r="AA738" s="135"/>
      <c r="AB738" s="135"/>
      <c r="AC738" s="135"/>
    </row>
    <row r="739" ht="15.75" customHeight="1">
      <c r="A739" s="135"/>
      <c r="B739" s="135"/>
      <c r="C739" s="135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  <c r="V739" s="135"/>
      <c r="W739" s="135"/>
      <c r="X739" s="135"/>
      <c r="Y739" s="135"/>
      <c r="Z739" s="135"/>
      <c r="AA739" s="135"/>
      <c r="AB739" s="135"/>
      <c r="AC739" s="135"/>
    </row>
    <row r="740" ht="15.75" customHeight="1">
      <c r="A740" s="135"/>
      <c r="B740" s="135"/>
      <c r="C740" s="135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  <c r="V740" s="135"/>
      <c r="W740" s="135"/>
      <c r="X740" s="135"/>
      <c r="Y740" s="135"/>
      <c r="Z740" s="135"/>
      <c r="AA740" s="135"/>
      <c r="AB740" s="135"/>
      <c r="AC740" s="135"/>
    </row>
    <row r="741" ht="15.75" customHeight="1">
      <c r="A741" s="135"/>
      <c r="B741" s="135"/>
      <c r="C741" s="135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  <c r="V741" s="135"/>
      <c r="W741" s="135"/>
      <c r="X741" s="135"/>
      <c r="Y741" s="135"/>
      <c r="Z741" s="135"/>
      <c r="AA741" s="135"/>
      <c r="AB741" s="135"/>
      <c r="AC741" s="135"/>
    </row>
    <row r="742" ht="15.75" customHeight="1">
      <c r="A742" s="135"/>
      <c r="B742" s="135"/>
      <c r="C742" s="135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  <c r="V742" s="135"/>
      <c r="W742" s="135"/>
      <c r="X742" s="135"/>
      <c r="Y742" s="135"/>
      <c r="Z742" s="135"/>
      <c r="AA742" s="135"/>
      <c r="AB742" s="135"/>
      <c r="AC742" s="135"/>
    </row>
    <row r="743" ht="15.75" customHeight="1">
      <c r="A743" s="135"/>
      <c r="B743" s="135"/>
      <c r="C743" s="135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  <c r="V743" s="135"/>
      <c r="W743" s="135"/>
      <c r="X743" s="135"/>
      <c r="Y743" s="135"/>
      <c r="Z743" s="135"/>
      <c r="AA743" s="135"/>
      <c r="AB743" s="135"/>
      <c r="AC743" s="135"/>
    </row>
    <row r="744" ht="15.75" customHeight="1">
      <c r="A744" s="135"/>
      <c r="B744" s="135"/>
      <c r="C744" s="135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  <c r="V744" s="135"/>
      <c r="W744" s="135"/>
      <c r="X744" s="135"/>
      <c r="Y744" s="135"/>
      <c r="Z744" s="135"/>
      <c r="AA744" s="135"/>
      <c r="AB744" s="135"/>
      <c r="AC744" s="135"/>
    </row>
    <row r="745" ht="15.75" customHeight="1">
      <c r="A745" s="135"/>
      <c r="B745" s="135"/>
      <c r="C745" s="135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  <c r="V745" s="135"/>
      <c r="W745" s="135"/>
      <c r="X745" s="135"/>
      <c r="Y745" s="135"/>
      <c r="Z745" s="135"/>
      <c r="AA745" s="135"/>
      <c r="AB745" s="135"/>
      <c r="AC745" s="135"/>
    </row>
    <row r="746" ht="15.75" customHeight="1">
      <c r="A746" s="135"/>
      <c r="B746" s="135"/>
      <c r="C746" s="135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  <c r="X746" s="135"/>
      <c r="Y746" s="135"/>
      <c r="Z746" s="135"/>
      <c r="AA746" s="135"/>
      <c r="AB746" s="135"/>
      <c r="AC746" s="135"/>
    </row>
    <row r="747" ht="15.75" customHeight="1">
      <c r="A747" s="135"/>
      <c r="B747" s="135"/>
      <c r="C747" s="135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  <c r="V747" s="135"/>
      <c r="W747" s="135"/>
      <c r="X747" s="135"/>
      <c r="Y747" s="135"/>
      <c r="Z747" s="135"/>
      <c r="AA747" s="135"/>
      <c r="AB747" s="135"/>
      <c r="AC747" s="135"/>
    </row>
    <row r="748" ht="15.75" customHeight="1">
      <c r="A748" s="135"/>
      <c r="B748" s="135"/>
      <c r="C748" s="135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  <c r="V748" s="135"/>
      <c r="W748" s="135"/>
      <c r="X748" s="135"/>
      <c r="Y748" s="135"/>
      <c r="Z748" s="135"/>
      <c r="AA748" s="135"/>
      <c r="AB748" s="135"/>
      <c r="AC748" s="135"/>
    </row>
    <row r="749" ht="15.75" customHeight="1">
      <c r="A749" s="135"/>
      <c r="B749" s="135"/>
      <c r="C749" s="135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  <c r="V749" s="135"/>
      <c r="W749" s="135"/>
      <c r="X749" s="135"/>
      <c r="Y749" s="135"/>
      <c r="Z749" s="135"/>
      <c r="AA749" s="135"/>
      <c r="AB749" s="135"/>
      <c r="AC749" s="135"/>
    </row>
    <row r="750" ht="15.75" customHeight="1">
      <c r="A750" s="135"/>
      <c r="B750" s="135"/>
      <c r="C750" s="135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  <c r="V750" s="135"/>
      <c r="W750" s="135"/>
      <c r="X750" s="135"/>
      <c r="Y750" s="135"/>
      <c r="Z750" s="135"/>
      <c r="AA750" s="135"/>
      <c r="AB750" s="135"/>
      <c r="AC750" s="135"/>
    </row>
    <row r="751" ht="15.75" customHeight="1">
      <c r="A751" s="135"/>
      <c r="B751" s="135"/>
      <c r="C751" s="135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  <c r="V751" s="135"/>
      <c r="W751" s="135"/>
      <c r="X751" s="135"/>
      <c r="Y751" s="135"/>
      <c r="Z751" s="135"/>
      <c r="AA751" s="135"/>
      <c r="AB751" s="135"/>
      <c r="AC751" s="135"/>
    </row>
    <row r="752" ht="15.75" customHeight="1">
      <c r="A752" s="135"/>
      <c r="B752" s="135"/>
      <c r="C752" s="135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  <c r="V752" s="135"/>
      <c r="W752" s="135"/>
      <c r="X752" s="135"/>
      <c r="Y752" s="135"/>
      <c r="Z752" s="135"/>
      <c r="AA752" s="135"/>
      <c r="AB752" s="135"/>
      <c r="AC752" s="135"/>
    </row>
    <row r="753" ht="15.75" customHeight="1">
      <c r="A753" s="135"/>
      <c r="B753" s="135"/>
      <c r="C753" s="135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  <c r="W753" s="135"/>
      <c r="X753" s="135"/>
      <c r="Y753" s="135"/>
      <c r="Z753" s="135"/>
      <c r="AA753" s="135"/>
      <c r="AB753" s="135"/>
      <c r="AC753" s="135"/>
    </row>
    <row r="754" ht="15.75" customHeight="1">
      <c r="A754" s="135"/>
      <c r="B754" s="135"/>
      <c r="C754" s="135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  <c r="V754" s="135"/>
      <c r="W754" s="135"/>
      <c r="X754" s="135"/>
      <c r="Y754" s="135"/>
      <c r="Z754" s="135"/>
      <c r="AA754" s="135"/>
      <c r="AB754" s="135"/>
      <c r="AC754" s="135"/>
    </row>
    <row r="755" ht="15.75" customHeight="1">
      <c r="A755" s="135"/>
      <c r="B755" s="135"/>
      <c r="C755" s="135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  <c r="V755" s="135"/>
      <c r="W755" s="135"/>
      <c r="X755" s="135"/>
      <c r="Y755" s="135"/>
      <c r="Z755" s="135"/>
      <c r="AA755" s="135"/>
      <c r="AB755" s="135"/>
      <c r="AC755" s="135"/>
    </row>
    <row r="756" ht="15.75" customHeight="1">
      <c r="A756" s="135"/>
      <c r="B756" s="135"/>
      <c r="C756" s="135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  <c r="W756" s="135"/>
      <c r="X756" s="135"/>
      <c r="Y756" s="135"/>
      <c r="Z756" s="135"/>
      <c r="AA756" s="135"/>
      <c r="AB756" s="135"/>
      <c r="AC756" s="135"/>
    </row>
    <row r="757" ht="15.75" customHeight="1">
      <c r="A757" s="135"/>
      <c r="B757" s="135"/>
      <c r="C757" s="135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  <c r="V757" s="135"/>
      <c r="W757" s="135"/>
      <c r="X757" s="135"/>
      <c r="Y757" s="135"/>
      <c r="Z757" s="135"/>
      <c r="AA757" s="135"/>
      <c r="AB757" s="135"/>
      <c r="AC757" s="135"/>
    </row>
    <row r="758" ht="15.75" customHeight="1">
      <c r="A758" s="135"/>
      <c r="B758" s="135"/>
      <c r="C758" s="135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  <c r="V758" s="135"/>
      <c r="W758" s="135"/>
      <c r="X758" s="135"/>
      <c r="Y758" s="135"/>
      <c r="Z758" s="135"/>
      <c r="AA758" s="135"/>
      <c r="AB758" s="135"/>
      <c r="AC758" s="135"/>
    </row>
    <row r="759" ht="15.75" customHeight="1">
      <c r="A759" s="135"/>
      <c r="B759" s="135"/>
      <c r="C759" s="135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  <c r="V759" s="135"/>
      <c r="W759" s="135"/>
      <c r="X759" s="135"/>
      <c r="Y759" s="135"/>
      <c r="Z759" s="135"/>
      <c r="AA759" s="135"/>
      <c r="AB759" s="135"/>
      <c r="AC759" s="135"/>
    </row>
    <row r="760" ht="15.75" customHeight="1">
      <c r="A760" s="135"/>
      <c r="B760" s="135"/>
      <c r="C760" s="135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  <c r="V760" s="135"/>
      <c r="W760" s="135"/>
      <c r="X760" s="135"/>
      <c r="Y760" s="135"/>
      <c r="Z760" s="135"/>
      <c r="AA760" s="135"/>
      <c r="AB760" s="135"/>
      <c r="AC760" s="135"/>
    </row>
    <row r="761" ht="15.75" customHeight="1">
      <c r="A761" s="135"/>
      <c r="B761" s="135"/>
      <c r="C761" s="135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  <c r="V761" s="135"/>
      <c r="W761" s="135"/>
      <c r="X761" s="135"/>
      <c r="Y761" s="135"/>
      <c r="Z761" s="135"/>
      <c r="AA761" s="135"/>
      <c r="AB761" s="135"/>
      <c r="AC761" s="135"/>
    </row>
    <row r="762" ht="15.75" customHeight="1">
      <c r="A762" s="135"/>
      <c r="B762" s="135"/>
      <c r="C762" s="135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  <c r="V762" s="135"/>
      <c r="W762" s="135"/>
      <c r="X762" s="135"/>
      <c r="Y762" s="135"/>
      <c r="Z762" s="135"/>
      <c r="AA762" s="135"/>
      <c r="AB762" s="135"/>
      <c r="AC762" s="135"/>
    </row>
    <row r="763" ht="15.75" customHeight="1">
      <c r="A763" s="135"/>
      <c r="B763" s="135"/>
      <c r="C763" s="135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  <c r="V763" s="135"/>
      <c r="W763" s="135"/>
      <c r="X763" s="135"/>
      <c r="Y763" s="135"/>
      <c r="Z763" s="135"/>
      <c r="AA763" s="135"/>
      <c r="AB763" s="135"/>
      <c r="AC763" s="135"/>
    </row>
    <row r="764" ht="15.75" customHeight="1">
      <c r="A764" s="135"/>
      <c r="B764" s="135"/>
      <c r="C764" s="135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  <c r="W764" s="135"/>
      <c r="X764" s="135"/>
      <c r="Y764" s="135"/>
      <c r="Z764" s="135"/>
      <c r="AA764" s="135"/>
      <c r="AB764" s="135"/>
      <c r="AC764" s="135"/>
    </row>
    <row r="765" ht="15.75" customHeight="1">
      <c r="A765" s="135"/>
      <c r="B765" s="135"/>
      <c r="C765" s="135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  <c r="W765" s="135"/>
      <c r="X765" s="135"/>
      <c r="Y765" s="135"/>
      <c r="Z765" s="135"/>
      <c r="AA765" s="135"/>
      <c r="AB765" s="135"/>
      <c r="AC765" s="135"/>
    </row>
    <row r="766" ht="15.75" customHeight="1">
      <c r="A766" s="135"/>
      <c r="B766" s="135"/>
      <c r="C766" s="135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  <c r="X766" s="135"/>
      <c r="Y766" s="135"/>
      <c r="Z766" s="135"/>
      <c r="AA766" s="135"/>
      <c r="AB766" s="135"/>
      <c r="AC766" s="135"/>
    </row>
    <row r="767" ht="15.75" customHeight="1">
      <c r="A767" s="135"/>
      <c r="B767" s="135"/>
      <c r="C767" s="135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  <c r="Y767" s="135"/>
      <c r="Z767" s="135"/>
      <c r="AA767" s="135"/>
      <c r="AB767" s="135"/>
      <c r="AC767" s="135"/>
    </row>
    <row r="768" ht="15.75" customHeight="1">
      <c r="A768" s="135"/>
      <c r="B768" s="135"/>
      <c r="C768" s="135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  <c r="V768" s="135"/>
      <c r="W768" s="135"/>
      <c r="X768" s="135"/>
      <c r="Y768" s="135"/>
      <c r="Z768" s="135"/>
      <c r="AA768" s="135"/>
      <c r="AB768" s="135"/>
      <c r="AC768" s="135"/>
    </row>
    <row r="769" ht="15.75" customHeight="1">
      <c r="A769" s="135"/>
      <c r="B769" s="135"/>
      <c r="C769" s="135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  <c r="W769" s="135"/>
      <c r="X769" s="135"/>
      <c r="Y769" s="135"/>
      <c r="Z769" s="135"/>
      <c r="AA769" s="135"/>
      <c r="AB769" s="135"/>
      <c r="AC769" s="135"/>
    </row>
    <row r="770" ht="15.75" customHeight="1">
      <c r="A770" s="135"/>
      <c r="B770" s="135"/>
      <c r="C770" s="135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  <c r="V770" s="135"/>
      <c r="W770" s="135"/>
      <c r="X770" s="135"/>
      <c r="Y770" s="135"/>
      <c r="Z770" s="135"/>
      <c r="AA770" s="135"/>
      <c r="AB770" s="135"/>
      <c r="AC770" s="135"/>
    </row>
    <row r="771" ht="15.75" customHeight="1">
      <c r="A771" s="135"/>
      <c r="B771" s="135"/>
      <c r="C771" s="135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  <c r="V771" s="135"/>
      <c r="W771" s="135"/>
      <c r="X771" s="135"/>
      <c r="Y771" s="135"/>
      <c r="Z771" s="135"/>
      <c r="AA771" s="135"/>
      <c r="AB771" s="135"/>
      <c r="AC771" s="135"/>
    </row>
    <row r="772" ht="15.75" customHeight="1">
      <c r="A772" s="135"/>
      <c r="B772" s="135"/>
      <c r="C772" s="135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  <c r="V772" s="135"/>
      <c r="W772" s="135"/>
      <c r="X772" s="135"/>
      <c r="Y772" s="135"/>
      <c r="Z772" s="135"/>
      <c r="AA772" s="135"/>
      <c r="AB772" s="135"/>
      <c r="AC772" s="135"/>
    </row>
    <row r="773" ht="15.75" customHeight="1">
      <c r="A773" s="135"/>
      <c r="B773" s="135"/>
      <c r="C773" s="135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  <c r="V773" s="135"/>
      <c r="W773" s="135"/>
      <c r="X773" s="135"/>
      <c r="Y773" s="135"/>
      <c r="Z773" s="135"/>
      <c r="AA773" s="135"/>
      <c r="AB773" s="135"/>
      <c r="AC773" s="135"/>
    </row>
    <row r="774" ht="15.75" customHeight="1">
      <c r="A774" s="135"/>
      <c r="B774" s="135"/>
      <c r="C774" s="135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  <c r="V774" s="135"/>
      <c r="W774" s="135"/>
      <c r="X774" s="135"/>
      <c r="Y774" s="135"/>
      <c r="Z774" s="135"/>
      <c r="AA774" s="135"/>
      <c r="AB774" s="135"/>
      <c r="AC774" s="135"/>
    </row>
    <row r="775" ht="15.75" customHeight="1">
      <c r="A775" s="135"/>
      <c r="B775" s="135"/>
      <c r="C775" s="135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  <c r="V775" s="135"/>
      <c r="W775" s="135"/>
      <c r="X775" s="135"/>
      <c r="Y775" s="135"/>
      <c r="Z775" s="135"/>
      <c r="AA775" s="135"/>
      <c r="AB775" s="135"/>
      <c r="AC775" s="135"/>
    </row>
    <row r="776" ht="15.75" customHeight="1">
      <c r="A776" s="135"/>
      <c r="B776" s="135"/>
      <c r="C776" s="135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  <c r="W776" s="135"/>
      <c r="X776" s="135"/>
      <c r="Y776" s="135"/>
      <c r="Z776" s="135"/>
      <c r="AA776" s="135"/>
      <c r="AB776" s="135"/>
      <c r="AC776" s="135"/>
    </row>
    <row r="777" ht="15.75" customHeight="1">
      <c r="A777" s="135"/>
      <c r="B777" s="135"/>
      <c r="C777" s="135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  <c r="W777" s="135"/>
      <c r="X777" s="135"/>
      <c r="Y777" s="135"/>
      <c r="Z777" s="135"/>
      <c r="AA777" s="135"/>
      <c r="AB777" s="135"/>
      <c r="AC777" s="135"/>
    </row>
    <row r="778" ht="15.75" customHeight="1">
      <c r="A778" s="135"/>
      <c r="B778" s="135"/>
      <c r="C778" s="135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  <c r="V778" s="135"/>
      <c r="W778" s="135"/>
      <c r="X778" s="135"/>
      <c r="Y778" s="135"/>
      <c r="Z778" s="135"/>
      <c r="AA778" s="135"/>
      <c r="AB778" s="135"/>
      <c r="AC778" s="135"/>
    </row>
    <row r="779" ht="15.75" customHeight="1">
      <c r="A779" s="135"/>
      <c r="B779" s="135"/>
      <c r="C779" s="135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  <c r="V779" s="135"/>
      <c r="W779" s="135"/>
      <c r="X779" s="135"/>
      <c r="Y779" s="135"/>
      <c r="Z779" s="135"/>
      <c r="AA779" s="135"/>
      <c r="AB779" s="135"/>
      <c r="AC779" s="135"/>
    </row>
    <row r="780" ht="15.75" customHeight="1">
      <c r="A780" s="135"/>
      <c r="B780" s="135"/>
      <c r="C780" s="135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  <c r="V780" s="135"/>
      <c r="W780" s="135"/>
      <c r="X780" s="135"/>
      <c r="Y780" s="135"/>
      <c r="Z780" s="135"/>
      <c r="AA780" s="135"/>
      <c r="AB780" s="135"/>
      <c r="AC780" s="135"/>
    </row>
    <row r="781" ht="15.75" customHeight="1">
      <c r="A781" s="135"/>
      <c r="B781" s="135"/>
      <c r="C781" s="135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  <c r="V781" s="135"/>
      <c r="W781" s="135"/>
      <c r="X781" s="135"/>
      <c r="Y781" s="135"/>
      <c r="Z781" s="135"/>
      <c r="AA781" s="135"/>
      <c r="AB781" s="135"/>
      <c r="AC781" s="135"/>
    </row>
    <row r="782" ht="15.75" customHeight="1">
      <c r="A782" s="135"/>
      <c r="B782" s="135"/>
      <c r="C782" s="135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  <c r="V782" s="135"/>
      <c r="W782" s="135"/>
      <c r="X782" s="135"/>
      <c r="Y782" s="135"/>
      <c r="Z782" s="135"/>
      <c r="AA782" s="135"/>
      <c r="AB782" s="135"/>
      <c r="AC782" s="135"/>
    </row>
    <row r="783" ht="15.75" customHeight="1">
      <c r="A783" s="135"/>
      <c r="B783" s="135"/>
      <c r="C783" s="135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  <c r="V783" s="135"/>
      <c r="W783" s="135"/>
      <c r="X783" s="135"/>
      <c r="Y783" s="135"/>
      <c r="Z783" s="135"/>
      <c r="AA783" s="135"/>
      <c r="AB783" s="135"/>
      <c r="AC783" s="135"/>
    </row>
    <row r="784" ht="15.75" customHeight="1">
      <c r="A784" s="135"/>
      <c r="B784" s="135"/>
      <c r="C784" s="135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  <c r="V784" s="135"/>
      <c r="W784" s="135"/>
      <c r="X784" s="135"/>
      <c r="Y784" s="135"/>
      <c r="Z784" s="135"/>
      <c r="AA784" s="135"/>
      <c r="AB784" s="135"/>
      <c r="AC784" s="135"/>
    </row>
    <row r="785" ht="15.75" customHeight="1">
      <c r="A785" s="135"/>
      <c r="B785" s="135"/>
      <c r="C785" s="135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  <c r="V785" s="135"/>
      <c r="W785" s="135"/>
      <c r="X785" s="135"/>
      <c r="Y785" s="135"/>
      <c r="Z785" s="135"/>
      <c r="AA785" s="135"/>
      <c r="AB785" s="135"/>
      <c r="AC785" s="135"/>
    </row>
    <row r="786" ht="15.75" customHeight="1">
      <c r="A786" s="135"/>
      <c r="B786" s="135"/>
      <c r="C786" s="135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  <c r="W786" s="135"/>
      <c r="X786" s="135"/>
      <c r="Y786" s="135"/>
      <c r="Z786" s="135"/>
      <c r="AA786" s="135"/>
      <c r="AB786" s="135"/>
      <c r="AC786" s="135"/>
    </row>
    <row r="787" ht="15.75" customHeight="1">
      <c r="A787" s="135"/>
      <c r="B787" s="135"/>
      <c r="C787" s="135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  <c r="V787" s="135"/>
      <c r="W787" s="135"/>
      <c r="X787" s="135"/>
      <c r="Y787" s="135"/>
      <c r="Z787" s="135"/>
      <c r="AA787" s="135"/>
      <c r="AB787" s="135"/>
      <c r="AC787" s="135"/>
    </row>
    <row r="788" ht="15.75" customHeight="1">
      <c r="A788" s="135"/>
      <c r="B788" s="135"/>
      <c r="C788" s="135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  <c r="V788" s="135"/>
      <c r="W788" s="135"/>
      <c r="X788" s="135"/>
      <c r="Y788" s="135"/>
      <c r="Z788" s="135"/>
      <c r="AA788" s="135"/>
      <c r="AB788" s="135"/>
      <c r="AC788" s="135"/>
    </row>
    <row r="789" ht="15.75" customHeight="1">
      <c r="A789" s="135"/>
      <c r="B789" s="135"/>
      <c r="C789" s="135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  <c r="V789" s="135"/>
      <c r="W789" s="135"/>
      <c r="X789" s="135"/>
      <c r="Y789" s="135"/>
      <c r="Z789" s="135"/>
      <c r="AA789" s="135"/>
      <c r="AB789" s="135"/>
      <c r="AC789" s="135"/>
    </row>
    <row r="790" ht="15.75" customHeight="1">
      <c r="A790" s="135"/>
      <c r="B790" s="135"/>
      <c r="C790" s="135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  <c r="V790" s="135"/>
      <c r="W790" s="135"/>
      <c r="X790" s="135"/>
      <c r="Y790" s="135"/>
      <c r="Z790" s="135"/>
      <c r="AA790" s="135"/>
      <c r="AB790" s="135"/>
      <c r="AC790" s="135"/>
    </row>
    <row r="791" ht="15.75" customHeight="1">
      <c r="A791" s="135"/>
      <c r="B791" s="135"/>
      <c r="C791" s="135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  <c r="V791" s="135"/>
      <c r="W791" s="135"/>
      <c r="X791" s="135"/>
      <c r="Y791" s="135"/>
      <c r="Z791" s="135"/>
      <c r="AA791" s="135"/>
      <c r="AB791" s="135"/>
      <c r="AC791" s="135"/>
    </row>
    <row r="792" ht="15.75" customHeight="1">
      <c r="A792" s="135"/>
      <c r="B792" s="135"/>
      <c r="C792" s="135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  <c r="V792" s="135"/>
      <c r="W792" s="135"/>
      <c r="X792" s="135"/>
      <c r="Y792" s="135"/>
      <c r="Z792" s="135"/>
      <c r="AA792" s="135"/>
      <c r="AB792" s="135"/>
      <c r="AC792" s="135"/>
    </row>
    <row r="793" ht="15.75" customHeight="1">
      <c r="A793" s="135"/>
      <c r="B793" s="135"/>
      <c r="C793" s="135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  <c r="V793" s="135"/>
      <c r="W793" s="135"/>
      <c r="X793" s="135"/>
      <c r="Y793" s="135"/>
      <c r="Z793" s="135"/>
      <c r="AA793" s="135"/>
      <c r="AB793" s="135"/>
      <c r="AC793" s="135"/>
    </row>
    <row r="794" ht="15.75" customHeight="1">
      <c r="A794" s="135"/>
      <c r="B794" s="135"/>
      <c r="C794" s="135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  <c r="V794" s="135"/>
      <c r="W794" s="135"/>
      <c r="X794" s="135"/>
      <c r="Y794" s="135"/>
      <c r="Z794" s="135"/>
      <c r="AA794" s="135"/>
      <c r="AB794" s="135"/>
      <c r="AC794" s="135"/>
    </row>
    <row r="795" ht="15.75" customHeight="1">
      <c r="A795" s="135"/>
      <c r="B795" s="135"/>
      <c r="C795" s="135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  <c r="V795" s="135"/>
      <c r="W795" s="135"/>
      <c r="X795" s="135"/>
      <c r="Y795" s="135"/>
      <c r="Z795" s="135"/>
      <c r="AA795" s="135"/>
      <c r="AB795" s="135"/>
      <c r="AC795" s="135"/>
    </row>
    <row r="796" ht="15.75" customHeight="1">
      <c r="A796" s="135"/>
      <c r="B796" s="135"/>
      <c r="C796" s="135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  <c r="W796" s="135"/>
      <c r="X796" s="135"/>
      <c r="Y796" s="135"/>
      <c r="Z796" s="135"/>
      <c r="AA796" s="135"/>
      <c r="AB796" s="135"/>
      <c r="AC796" s="135"/>
    </row>
    <row r="797" ht="15.75" customHeight="1">
      <c r="A797" s="135"/>
      <c r="B797" s="135"/>
      <c r="C797" s="135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  <c r="V797" s="135"/>
      <c r="W797" s="135"/>
      <c r="X797" s="135"/>
      <c r="Y797" s="135"/>
      <c r="Z797" s="135"/>
      <c r="AA797" s="135"/>
      <c r="AB797" s="135"/>
      <c r="AC797" s="135"/>
    </row>
    <row r="798" ht="15.75" customHeight="1">
      <c r="A798" s="135"/>
      <c r="B798" s="135"/>
      <c r="C798" s="135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  <c r="V798" s="135"/>
      <c r="W798" s="135"/>
      <c r="X798" s="135"/>
      <c r="Y798" s="135"/>
      <c r="Z798" s="135"/>
      <c r="AA798" s="135"/>
      <c r="AB798" s="135"/>
      <c r="AC798" s="135"/>
    </row>
    <row r="799" ht="15.75" customHeight="1">
      <c r="A799" s="135"/>
      <c r="B799" s="135"/>
      <c r="C799" s="135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  <c r="V799" s="135"/>
      <c r="W799" s="135"/>
      <c r="X799" s="135"/>
      <c r="Y799" s="135"/>
      <c r="Z799" s="135"/>
      <c r="AA799" s="135"/>
      <c r="AB799" s="135"/>
      <c r="AC799" s="135"/>
    </row>
    <row r="800" ht="15.75" customHeight="1">
      <c r="A800" s="135"/>
      <c r="B800" s="135"/>
      <c r="C800" s="135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  <c r="V800" s="135"/>
      <c r="W800" s="135"/>
      <c r="X800" s="135"/>
      <c r="Y800" s="135"/>
      <c r="Z800" s="135"/>
      <c r="AA800" s="135"/>
      <c r="AB800" s="135"/>
      <c r="AC800" s="135"/>
    </row>
    <row r="801" ht="15.75" customHeight="1">
      <c r="A801" s="135"/>
      <c r="B801" s="135"/>
      <c r="C801" s="135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  <c r="V801" s="135"/>
      <c r="W801" s="135"/>
      <c r="X801" s="135"/>
      <c r="Y801" s="135"/>
      <c r="Z801" s="135"/>
      <c r="AA801" s="135"/>
      <c r="AB801" s="135"/>
      <c r="AC801" s="135"/>
    </row>
    <row r="802" ht="15.75" customHeight="1">
      <c r="A802" s="135"/>
      <c r="B802" s="135"/>
      <c r="C802" s="135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  <c r="V802" s="135"/>
      <c r="W802" s="135"/>
      <c r="X802" s="135"/>
      <c r="Y802" s="135"/>
      <c r="Z802" s="135"/>
      <c r="AA802" s="135"/>
      <c r="AB802" s="135"/>
      <c r="AC802" s="135"/>
    </row>
    <row r="803" ht="15.75" customHeight="1">
      <c r="A803" s="135"/>
      <c r="B803" s="135"/>
      <c r="C803" s="135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  <c r="V803" s="135"/>
      <c r="W803" s="135"/>
      <c r="X803" s="135"/>
      <c r="Y803" s="135"/>
      <c r="Z803" s="135"/>
      <c r="AA803" s="135"/>
      <c r="AB803" s="135"/>
      <c r="AC803" s="135"/>
    </row>
    <row r="804" ht="15.75" customHeight="1">
      <c r="A804" s="135"/>
      <c r="B804" s="135"/>
      <c r="C804" s="135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  <c r="Y804" s="135"/>
      <c r="Z804" s="135"/>
      <c r="AA804" s="135"/>
      <c r="AB804" s="135"/>
      <c r="AC804" s="135"/>
    </row>
    <row r="805" ht="15.75" customHeight="1">
      <c r="A805" s="135"/>
      <c r="B805" s="135"/>
      <c r="C805" s="135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  <c r="V805" s="135"/>
      <c r="W805" s="135"/>
      <c r="X805" s="135"/>
      <c r="Y805" s="135"/>
      <c r="Z805" s="135"/>
      <c r="AA805" s="135"/>
      <c r="AB805" s="135"/>
      <c r="AC805" s="135"/>
    </row>
    <row r="806" ht="15.75" customHeight="1">
      <c r="A806" s="135"/>
      <c r="B806" s="135"/>
      <c r="C806" s="135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  <c r="W806" s="135"/>
      <c r="X806" s="135"/>
      <c r="Y806" s="135"/>
      <c r="Z806" s="135"/>
      <c r="AA806" s="135"/>
      <c r="AB806" s="135"/>
      <c r="AC806" s="135"/>
    </row>
    <row r="807" ht="15.75" customHeight="1">
      <c r="A807" s="135"/>
      <c r="B807" s="135"/>
      <c r="C807" s="135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  <c r="V807" s="135"/>
      <c r="W807" s="135"/>
      <c r="X807" s="135"/>
      <c r="Y807" s="135"/>
      <c r="Z807" s="135"/>
      <c r="AA807" s="135"/>
      <c r="AB807" s="135"/>
      <c r="AC807" s="135"/>
    </row>
    <row r="808" ht="15.75" customHeight="1">
      <c r="A808" s="135"/>
      <c r="B808" s="135"/>
      <c r="C808" s="135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  <c r="W808" s="135"/>
      <c r="X808" s="135"/>
      <c r="Y808" s="135"/>
      <c r="Z808" s="135"/>
      <c r="AA808" s="135"/>
      <c r="AB808" s="135"/>
      <c r="AC808" s="135"/>
    </row>
    <row r="809" ht="15.75" customHeight="1">
      <c r="A809" s="135"/>
      <c r="B809" s="135"/>
      <c r="C809" s="135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  <c r="V809" s="135"/>
      <c r="W809" s="135"/>
      <c r="X809" s="135"/>
      <c r="Y809" s="135"/>
      <c r="Z809" s="135"/>
      <c r="AA809" s="135"/>
      <c r="AB809" s="135"/>
      <c r="AC809" s="135"/>
    </row>
    <row r="810" ht="15.75" customHeight="1">
      <c r="A810" s="135"/>
      <c r="B810" s="135"/>
      <c r="C810" s="135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  <c r="V810" s="135"/>
      <c r="W810" s="135"/>
      <c r="X810" s="135"/>
      <c r="Y810" s="135"/>
      <c r="Z810" s="135"/>
      <c r="AA810" s="135"/>
      <c r="AB810" s="135"/>
      <c r="AC810" s="135"/>
    </row>
    <row r="811" ht="15.75" customHeight="1">
      <c r="A811" s="135"/>
      <c r="B811" s="135"/>
      <c r="C811" s="135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  <c r="V811" s="135"/>
      <c r="W811" s="135"/>
      <c r="X811" s="135"/>
      <c r="Y811" s="135"/>
      <c r="Z811" s="135"/>
      <c r="AA811" s="135"/>
      <c r="AB811" s="135"/>
      <c r="AC811" s="135"/>
    </row>
    <row r="812" ht="15.75" customHeight="1">
      <c r="A812" s="135"/>
      <c r="B812" s="135"/>
      <c r="C812" s="135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  <c r="V812" s="135"/>
      <c r="W812" s="135"/>
      <c r="X812" s="135"/>
      <c r="Y812" s="135"/>
      <c r="Z812" s="135"/>
      <c r="AA812" s="135"/>
      <c r="AB812" s="135"/>
      <c r="AC812" s="135"/>
    </row>
    <row r="813" ht="15.75" customHeight="1">
      <c r="A813" s="135"/>
      <c r="B813" s="135"/>
      <c r="C813" s="135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  <c r="V813" s="135"/>
      <c r="W813" s="135"/>
      <c r="X813" s="135"/>
      <c r="Y813" s="135"/>
      <c r="Z813" s="135"/>
      <c r="AA813" s="135"/>
      <c r="AB813" s="135"/>
      <c r="AC813" s="135"/>
    </row>
    <row r="814" ht="15.75" customHeight="1">
      <c r="A814" s="135"/>
      <c r="B814" s="135"/>
      <c r="C814" s="135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  <c r="V814" s="135"/>
      <c r="W814" s="135"/>
      <c r="X814" s="135"/>
      <c r="Y814" s="135"/>
      <c r="Z814" s="135"/>
      <c r="AA814" s="135"/>
      <c r="AB814" s="135"/>
      <c r="AC814" s="135"/>
    </row>
    <row r="815" ht="15.75" customHeight="1">
      <c r="A815" s="135"/>
      <c r="B815" s="135"/>
      <c r="C815" s="135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  <c r="W815" s="135"/>
      <c r="X815" s="135"/>
      <c r="Y815" s="135"/>
      <c r="Z815" s="135"/>
      <c r="AA815" s="135"/>
      <c r="AB815" s="135"/>
      <c r="AC815" s="135"/>
    </row>
    <row r="816" ht="15.75" customHeight="1">
      <c r="A816" s="135"/>
      <c r="B816" s="135"/>
      <c r="C816" s="135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  <c r="W816" s="135"/>
      <c r="X816" s="135"/>
      <c r="Y816" s="135"/>
      <c r="Z816" s="135"/>
      <c r="AA816" s="135"/>
      <c r="AB816" s="135"/>
      <c r="AC816" s="135"/>
    </row>
    <row r="817" ht="15.75" customHeight="1">
      <c r="A817" s="135"/>
      <c r="B817" s="135"/>
      <c r="C817" s="135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  <c r="V817" s="135"/>
      <c r="W817" s="135"/>
      <c r="X817" s="135"/>
      <c r="Y817" s="135"/>
      <c r="Z817" s="135"/>
      <c r="AA817" s="135"/>
      <c r="AB817" s="135"/>
      <c r="AC817" s="135"/>
    </row>
    <row r="818" ht="15.75" customHeight="1">
      <c r="A818" s="135"/>
      <c r="B818" s="135"/>
      <c r="C818" s="135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  <c r="V818" s="135"/>
      <c r="W818" s="135"/>
      <c r="X818" s="135"/>
      <c r="Y818" s="135"/>
      <c r="Z818" s="135"/>
      <c r="AA818" s="135"/>
      <c r="AB818" s="135"/>
      <c r="AC818" s="135"/>
    </row>
    <row r="819" ht="15.75" customHeight="1">
      <c r="A819" s="135"/>
      <c r="B819" s="135"/>
      <c r="C819" s="135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  <c r="Y819" s="135"/>
      <c r="Z819" s="135"/>
      <c r="AA819" s="135"/>
      <c r="AB819" s="135"/>
      <c r="AC819" s="135"/>
    </row>
    <row r="820" ht="15.75" customHeight="1">
      <c r="A820" s="135"/>
      <c r="B820" s="135"/>
      <c r="C820" s="135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  <c r="V820" s="135"/>
      <c r="W820" s="135"/>
      <c r="X820" s="135"/>
      <c r="Y820" s="135"/>
      <c r="Z820" s="135"/>
      <c r="AA820" s="135"/>
      <c r="AB820" s="135"/>
      <c r="AC820" s="135"/>
    </row>
    <row r="821" ht="15.75" customHeight="1">
      <c r="A821" s="135"/>
      <c r="B821" s="135"/>
      <c r="C821" s="135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  <c r="V821" s="135"/>
      <c r="W821" s="135"/>
      <c r="X821" s="135"/>
      <c r="Y821" s="135"/>
      <c r="Z821" s="135"/>
      <c r="AA821" s="135"/>
      <c r="AB821" s="135"/>
      <c r="AC821" s="135"/>
    </row>
    <row r="822" ht="15.75" customHeight="1">
      <c r="A822" s="135"/>
      <c r="B822" s="135"/>
      <c r="C822" s="135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  <c r="V822" s="135"/>
      <c r="W822" s="135"/>
      <c r="X822" s="135"/>
      <c r="Y822" s="135"/>
      <c r="Z822" s="135"/>
      <c r="AA822" s="135"/>
      <c r="AB822" s="135"/>
      <c r="AC822" s="135"/>
    </row>
    <row r="823" ht="15.75" customHeight="1">
      <c r="A823" s="135"/>
      <c r="B823" s="135"/>
      <c r="C823" s="135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  <c r="V823" s="135"/>
      <c r="W823" s="135"/>
      <c r="X823" s="135"/>
      <c r="Y823" s="135"/>
      <c r="Z823" s="135"/>
      <c r="AA823" s="135"/>
      <c r="AB823" s="135"/>
      <c r="AC823" s="135"/>
    </row>
    <row r="824" ht="15.75" customHeight="1">
      <c r="A824" s="135"/>
      <c r="B824" s="135"/>
      <c r="C824" s="135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  <c r="V824" s="135"/>
      <c r="W824" s="135"/>
      <c r="X824" s="135"/>
      <c r="Y824" s="135"/>
      <c r="Z824" s="135"/>
      <c r="AA824" s="135"/>
      <c r="AB824" s="135"/>
      <c r="AC824" s="135"/>
    </row>
    <row r="825" ht="15.75" customHeight="1">
      <c r="A825" s="135"/>
      <c r="B825" s="135"/>
      <c r="C825" s="135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  <c r="V825" s="135"/>
      <c r="W825" s="135"/>
      <c r="X825" s="135"/>
      <c r="Y825" s="135"/>
      <c r="Z825" s="135"/>
      <c r="AA825" s="135"/>
      <c r="AB825" s="135"/>
      <c r="AC825" s="135"/>
    </row>
    <row r="826" ht="15.75" customHeight="1">
      <c r="A826" s="135"/>
      <c r="B826" s="135"/>
      <c r="C826" s="135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  <c r="W826" s="135"/>
      <c r="X826" s="135"/>
      <c r="Y826" s="135"/>
      <c r="Z826" s="135"/>
      <c r="AA826" s="135"/>
      <c r="AB826" s="135"/>
      <c r="AC826" s="135"/>
    </row>
    <row r="827" ht="15.75" customHeight="1">
      <c r="A827" s="135"/>
      <c r="B827" s="135"/>
      <c r="C827" s="135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  <c r="V827" s="135"/>
      <c r="W827" s="135"/>
      <c r="X827" s="135"/>
      <c r="Y827" s="135"/>
      <c r="Z827" s="135"/>
      <c r="AA827" s="135"/>
      <c r="AB827" s="135"/>
      <c r="AC827" s="135"/>
    </row>
    <row r="828" ht="15.75" customHeight="1">
      <c r="A828" s="135"/>
      <c r="B828" s="135"/>
      <c r="C828" s="135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  <c r="V828" s="135"/>
      <c r="W828" s="135"/>
      <c r="X828" s="135"/>
      <c r="Y828" s="135"/>
      <c r="Z828" s="135"/>
      <c r="AA828" s="135"/>
      <c r="AB828" s="135"/>
      <c r="AC828" s="135"/>
    </row>
    <row r="829" ht="15.75" customHeight="1">
      <c r="A829" s="135"/>
      <c r="B829" s="135"/>
      <c r="C829" s="135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  <c r="V829" s="135"/>
      <c r="W829" s="135"/>
      <c r="X829" s="135"/>
      <c r="Y829" s="135"/>
      <c r="Z829" s="135"/>
      <c r="AA829" s="135"/>
      <c r="AB829" s="135"/>
      <c r="AC829" s="135"/>
    </row>
    <row r="830" ht="15.75" customHeight="1">
      <c r="A830" s="135"/>
      <c r="B830" s="135"/>
      <c r="C830" s="135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  <c r="W830" s="135"/>
      <c r="X830" s="135"/>
      <c r="Y830" s="135"/>
      <c r="Z830" s="135"/>
      <c r="AA830" s="135"/>
      <c r="AB830" s="135"/>
      <c r="AC830" s="135"/>
    </row>
    <row r="831" ht="15.75" customHeight="1">
      <c r="A831" s="135"/>
      <c r="B831" s="135"/>
      <c r="C831" s="135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  <c r="V831" s="135"/>
      <c r="W831" s="135"/>
      <c r="X831" s="135"/>
      <c r="Y831" s="135"/>
      <c r="Z831" s="135"/>
      <c r="AA831" s="135"/>
      <c r="AB831" s="135"/>
      <c r="AC831" s="135"/>
    </row>
    <row r="832" ht="15.75" customHeight="1">
      <c r="A832" s="135"/>
      <c r="B832" s="135"/>
      <c r="C832" s="135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  <c r="V832" s="135"/>
      <c r="W832" s="135"/>
      <c r="X832" s="135"/>
      <c r="Y832" s="135"/>
      <c r="Z832" s="135"/>
      <c r="AA832" s="135"/>
      <c r="AB832" s="135"/>
      <c r="AC832" s="135"/>
    </row>
    <row r="833" ht="15.75" customHeight="1">
      <c r="A833" s="135"/>
      <c r="B833" s="135"/>
      <c r="C833" s="135"/>
      <c r="D833" s="13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  <c r="U833" s="135"/>
      <c r="V833" s="135"/>
      <c r="W833" s="135"/>
      <c r="X833" s="135"/>
      <c r="Y833" s="135"/>
      <c r="Z833" s="135"/>
      <c r="AA833" s="135"/>
      <c r="AB833" s="135"/>
      <c r="AC833" s="135"/>
    </row>
    <row r="834" ht="15.75" customHeight="1">
      <c r="A834" s="135"/>
      <c r="B834" s="135"/>
      <c r="C834" s="135"/>
      <c r="D834" s="13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  <c r="U834" s="135"/>
      <c r="V834" s="135"/>
      <c r="W834" s="135"/>
      <c r="X834" s="135"/>
      <c r="Y834" s="135"/>
      <c r="Z834" s="135"/>
      <c r="AA834" s="135"/>
      <c r="AB834" s="135"/>
      <c r="AC834" s="135"/>
    </row>
    <row r="835" ht="15.75" customHeight="1">
      <c r="A835" s="135"/>
      <c r="B835" s="135"/>
      <c r="C835" s="135"/>
      <c r="D835" s="13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  <c r="U835" s="135"/>
      <c r="V835" s="135"/>
      <c r="W835" s="135"/>
      <c r="X835" s="135"/>
      <c r="Y835" s="135"/>
      <c r="Z835" s="135"/>
      <c r="AA835" s="135"/>
      <c r="AB835" s="135"/>
      <c r="AC835" s="135"/>
    </row>
    <row r="836" ht="15.75" customHeight="1">
      <c r="A836" s="135"/>
      <c r="B836" s="135"/>
      <c r="C836" s="135"/>
      <c r="D836" s="13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  <c r="U836" s="135"/>
      <c r="V836" s="135"/>
      <c r="W836" s="135"/>
      <c r="X836" s="135"/>
      <c r="Y836" s="135"/>
      <c r="Z836" s="135"/>
      <c r="AA836" s="135"/>
      <c r="AB836" s="135"/>
      <c r="AC836" s="135"/>
    </row>
    <row r="837" ht="15.75" customHeight="1">
      <c r="A837" s="135"/>
      <c r="B837" s="135"/>
      <c r="C837" s="135"/>
      <c r="D837" s="13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  <c r="U837" s="135"/>
      <c r="V837" s="135"/>
      <c r="W837" s="135"/>
      <c r="X837" s="135"/>
      <c r="Y837" s="135"/>
      <c r="Z837" s="135"/>
      <c r="AA837" s="135"/>
      <c r="AB837" s="135"/>
      <c r="AC837" s="135"/>
    </row>
    <row r="838" ht="15.75" customHeight="1">
      <c r="A838" s="135"/>
      <c r="B838" s="135"/>
      <c r="C838" s="135"/>
      <c r="D838" s="13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  <c r="U838" s="135"/>
      <c r="V838" s="135"/>
      <c r="W838" s="135"/>
      <c r="X838" s="135"/>
      <c r="Y838" s="135"/>
      <c r="Z838" s="135"/>
      <c r="AA838" s="135"/>
      <c r="AB838" s="135"/>
      <c r="AC838" s="135"/>
    </row>
    <row r="839" ht="15.75" customHeight="1">
      <c r="A839" s="135"/>
      <c r="B839" s="135"/>
      <c r="C839" s="135"/>
      <c r="D839" s="13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  <c r="U839" s="135"/>
      <c r="V839" s="135"/>
      <c r="W839" s="135"/>
      <c r="X839" s="135"/>
      <c r="Y839" s="135"/>
      <c r="Z839" s="135"/>
      <c r="AA839" s="135"/>
      <c r="AB839" s="135"/>
      <c r="AC839" s="135"/>
    </row>
    <row r="840" ht="15.75" customHeight="1">
      <c r="A840" s="135"/>
      <c r="B840" s="135"/>
      <c r="C840" s="135"/>
      <c r="D840" s="13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  <c r="U840" s="135"/>
      <c r="V840" s="135"/>
      <c r="W840" s="135"/>
      <c r="X840" s="135"/>
      <c r="Y840" s="135"/>
      <c r="Z840" s="135"/>
      <c r="AA840" s="135"/>
      <c r="AB840" s="135"/>
      <c r="AC840" s="135"/>
    </row>
    <row r="841" ht="15.75" customHeight="1">
      <c r="A841" s="135"/>
      <c r="B841" s="135"/>
      <c r="C841" s="135"/>
      <c r="D841" s="13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  <c r="U841" s="135"/>
      <c r="V841" s="135"/>
      <c r="W841" s="135"/>
      <c r="X841" s="135"/>
      <c r="Y841" s="135"/>
      <c r="Z841" s="135"/>
      <c r="AA841" s="135"/>
      <c r="AB841" s="135"/>
      <c r="AC841" s="135"/>
    </row>
    <row r="842" ht="15.75" customHeight="1">
      <c r="A842" s="135"/>
      <c r="B842" s="135"/>
      <c r="C842" s="135"/>
      <c r="D842" s="13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  <c r="U842" s="135"/>
      <c r="V842" s="135"/>
      <c r="W842" s="135"/>
      <c r="X842" s="135"/>
      <c r="Y842" s="135"/>
      <c r="Z842" s="135"/>
      <c r="AA842" s="135"/>
      <c r="AB842" s="135"/>
      <c r="AC842" s="135"/>
    </row>
    <row r="843" ht="15.75" customHeight="1">
      <c r="A843" s="135"/>
      <c r="B843" s="135"/>
      <c r="C843" s="135"/>
      <c r="D843" s="13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  <c r="U843" s="135"/>
      <c r="V843" s="135"/>
      <c r="W843" s="135"/>
      <c r="X843" s="135"/>
      <c r="Y843" s="135"/>
      <c r="Z843" s="135"/>
      <c r="AA843" s="135"/>
      <c r="AB843" s="135"/>
      <c r="AC843" s="135"/>
    </row>
    <row r="844" ht="15.75" customHeight="1">
      <c r="A844" s="135"/>
      <c r="B844" s="135"/>
      <c r="C844" s="135"/>
      <c r="D844" s="13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  <c r="U844" s="135"/>
      <c r="V844" s="135"/>
      <c r="W844" s="135"/>
      <c r="X844" s="135"/>
      <c r="Y844" s="135"/>
      <c r="Z844" s="135"/>
      <c r="AA844" s="135"/>
      <c r="AB844" s="135"/>
      <c r="AC844" s="135"/>
    </row>
    <row r="845" ht="15.75" customHeight="1">
      <c r="A845" s="135"/>
      <c r="B845" s="135"/>
      <c r="C845" s="135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  <c r="V845" s="135"/>
      <c r="W845" s="135"/>
      <c r="X845" s="135"/>
      <c r="Y845" s="135"/>
      <c r="Z845" s="135"/>
      <c r="AA845" s="135"/>
      <c r="AB845" s="135"/>
      <c r="AC845" s="135"/>
    </row>
    <row r="846" ht="15.75" customHeight="1">
      <c r="A846" s="135"/>
      <c r="B846" s="135"/>
      <c r="C846" s="135"/>
      <c r="D846" s="13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  <c r="U846" s="135"/>
      <c r="V846" s="135"/>
      <c r="W846" s="135"/>
      <c r="X846" s="135"/>
      <c r="Y846" s="135"/>
      <c r="Z846" s="135"/>
      <c r="AA846" s="135"/>
      <c r="AB846" s="135"/>
      <c r="AC846" s="135"/>
    </row>
    <row r="847" ht="15.75" customHeight="1">
      <c r="A847" s="135"/>
      <c r="B847" s="135"/>
      <c r="C847" s="135"/>
      <c r="D847" s="13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  <c r="U847" s="135"/>
      <c r="V847" s="135"/>
      <c r="W847" s="135"/>
      <c r="X847" s="135"/>
      <c r="Y847" s="135"/>
      <c r="Z847" s="135"/>
      <c r="AA847" s="135"/>
      <c r="AB847" s="135"/>
      <c r="AC847" s="135"/>
    </row>
    <row r="848" ht="15.75" customHeight="1">
      <c r="A848" s="135"/>
      <c r="B848" s="135"/>
      <c r="C848" s="135"/>
      <c r="D848" s="13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  <c r="U848" s="135"/>
      <c r="V848" s="135"/>
      <c r="W848" s="135"/>
      <c r="X848" s="135"/>
      <c r="Y848" s="135"/>
      <c r="Z848" s="135"/>
      <c r="AA848" s="135"/>
      <c r="AB848" s="135"/>
      <c r="AC848" s="135"/>
    </row>
    <row r="849" ht="15.75" customHeight="1">
      <c r="A849" s="135"/>
      <c r="B849" s="135"/>
      <c r="C849" s="135"/>
      <c r="D849" s="13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  <c r="U849" s="135"/>
      <c r="V849" s="135"/>
      <c r="W849" s="135"/>
      <c r="X849" s="135"/>
      <c r="Y849" s="135"/>
      <c r="Z849" s="135"/>
      <c r="AA849" s="135"/>
      <c r="AB849" s="135"/>
      <c r="AC849" s="135"/>
    </row>
    <row r="850" ht="15.75" customHeight="1">
      <c r="A850" s="135"/>
      <c r="B850" s="135"/>
      <c r="C850" s="135"/>
      <c r="D850" s="13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  <c r="U850" s="135"/>
      <c r="V850" s="135"/>
      <c r="W850" s="135"/>
      <c r="X850" s="135"/>
      <c r="Y850" s="135"/>
      <c r="Z850" s="135"/>
      <c r="AA850" s="135"/>
      <c r="AB850" s="135"/>
      <c r="AC850" s="135"/>
    </row>
    <row r="851" ht="15.75" customHeight="1">
      <c r="A851" s="135"/>
      <c r="B851" s="135"/>
      <c r="C851" s="135"/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  <c r="V851" s="135"/>
      <c r="W851" s="135"/>
      <c r="X851" s="135"/>
      <c r="Y851" s="135"/>
      <c r="Z851" s="135"/>
      <c r="AA851" s="135"/>
      <c r="AB851" s="135"/>
      <c r="AC851" s="135"/>
    </row>
    <row r="852" ht="15.75" customHeight="1">
      <c r="A852" s="135"/>
      <c r="B852" s="135"/>
      <c r="C852" s="135"/>
      <c r="D852" s="13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  <c r="U852" s="135"/>
      <c r="V852" s="135"/>
      <c r="W852" s="135"/>
      <c r="X852" s="135"/>
      <c r="Y852" s="135"/>
      <c r="Z852" s="135"/>
      <c r="AA852" s="135"/>
      <c r="AB852" s="135"/>
      <c r="AC852" s="135"/>
    </row>
    <row r="853" ht="15.75" customHeight="1">
      <c r="A853" s="135"/>
      <c r="B853" s="135"/>
      <c r="C853" s="135"/>
      <c r="D853" s="13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  <c r="U853" s="135"/>
      <c r="V853" s="135"/>
      <c r="W853" s="135"/>
      <c r="X853" s="135"/>
      <c r="Y853" s="135"/>
      <c r="Z853" s="135"/>
      <c r="AA853" s="135"/>
      <c r="AB853" s="135"/>
      <c r="AC853" s="135"/>
    </row>
    <row r="854" ht="15.75" customHeight="1">
      <c r="A854" s="135"/>
      <c r="B854" s="135"/>
      <c r="C854" s="135"/>
      <c r="D854" s="13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  <c r="U854" s="135"/>
      <c r="V854" s="135"/>
      <c r="W854" s="135"/>
      <c r="X854" s="135"/>
      <c r="Y854" s="135"/>
      <c r="Z854" s="135"/>
      <c r="AA854" s="135"/>
      <c r="AB854" s="135"/>
      <c r="AC854" s="135"/>
    </row>
    <row r="855" ht="15.75" customHeight="1">
      <c r="A855" s="135"/>
      <c r="B855" s="135"/>
      <c r="C855" s="135"/>
      <c r="D855" s="13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  <c r="U855" s="135"/>
      <c r="V855" s="135"/>
      <c r="W855" s="135"/>
      <c r="X855" s="135"/>
      <c r="Y855" s="135"/>
      <c r="Z855" s="135"/>
      <c r="AA855" s="135"/>
      <c r="AB855" s="135"/>
      <c r="AC855" s="135"/>
    </row>
    <row r="856" ht="15.75" customHeight="1">
      <c r="A856" s="135"/>
      <c r="B856" s="135"/>
      <c r="C856" s="135"/>
      <c r="D856" s="13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  <c r="U856" s="135"/>
      <c r="V856" s="135"/>
      <c r="W856" s="135"/>
      <c r="X856" s="135"/>
      <c r="Y856" s="135"/>
      <c r="Z856" s="135"/>
      <c r="AA856" s="135"/>
      <c r="AB856" s="135"/>
      <c r="AC856" s="135"/>
    </row>
    <row r="857" ht="15.75" customHeight="1">
      <c r="A857" s="135"/>
      <c r="B857" s="135"/>
      <c r="C857" s="135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  <c r="V857" s="135"/>
      <c r="W857" s="135"/>
      <c r="X857" s="135"/>
      <c r="Y857" s="135"/>
      <c r="Z857" s="135"/>
      <c r="AA857" s="135"/>
      <c r="AB857" s="135"/>
      <c r="AC857" s="135"/>
    </row>
    <row r="858" ht="15.75" customHeight="1">
      <c r="A858" s="135"/>
      <c r="B858" s="135"/>
      <c r="C858" s="135"/>
      <c r="D858" s="13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  <c r="U858" s="135"/>
      <c r="V858" s="135"/>
      <c r="W858" s="135"/>
      <c r="X858" s="135"/>
      <c r="Y858" s="135"/>
      <c r="Z858" s="135"/>
      <c r="AA858" s="135"/>
      <c r="AB858" s="135"/>
      <c r="AC858" s="135"/>
    </row>
    <row r="859" ht="15.75" customHeight="1">
      <c r="A859" s="135"/>
      <c r="B859" s="135"/>
      <c r="C859" s="135"/>
      <c r="D859" s="13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  <c r="U859" s="135"/>
      <c r="V859" s="135"/>
      <c r="W859" s="135"/>
      <c r="X859" s="135"/>
      <c r="Y859" s="135"/>
      <c r="Z859" s="135"/>
      <c r="AA859" s="135"/>
      <c r="AB859" s="135"/>
      <c r="AC859" s="135"/>
    </row>
    <row r="860" ht="15.75" customHeight="1">
      <c r="A860" s="135"/>
      <c r="B860" s="135"/>
      <c r="C860" s="135"/>
      <c r="D860" s="13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  <c r="U860" s="135"/>
      <c r="V860" s="135"/>
      <c r="W860" s="135"/>
      <c r="X860" s="135"/>
      <c r="Y860" s="135"/>
      <c r="Z860" s="135"/>
      <c r="AA860" s="135"/>
      <c r="AB860" s="135"/>
      <c r="AC860" s="135"/>
    </row>
    <row r="861" ht="15.75" customHeight="1">
      <c r="A861" s="135"/>
      <c r="B861" s="135"/>
      <c r="C861" s="135"/>
      <c r="D861" s="13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  <c r="U861" s="135"/>
      <c r="V861" s="135"/>
      <c r="W861" s="135"/>
      <c r="X861" s="135"/>
      <c r="Y861" s="135"/>
      <c r="Z861" s="135"/>
      <c r="AA861" s="135"/>
      <c r="AB861" s="135"/>
      <c r="AC861" s="135"/>
    </row>
    <row r="862" ht="15.75" customHeight="1">
      <c r="A862" s="135"/>
      <c r="B862" s="135"/>
      <c r="C862" s="135"/>
      <c r="D862" s="13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  <c r="U862" s="135"/>
      <c r="V862" s="135"/>
      <c r="W862" s="135"/>
      <c r="X862" s="135"/>
      <c r="Y862" s="135"/>
      <c r="Z862" s="135"/>
      <c r="AA862" s="135"/>
      <c r="AB862" s="135"/>
      <c r="AC862" s="135"/>
    </row>
    <row r="863" ht="15.75" customHeight="1">
      <c r="A863" s="135"/>
      <c r="B863" s="135"/>
      <c r="C863" s="135"/>
      <c r="D863" s="13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  <c r="U863" s="135"/>
      <c r="V863" s="135"/>
      <c r="W863" s="135"/>
      <c r="X863" s="135"/>
      <c r="Y863" s="135"/>
      <c r="Z863" s="135"/>
      <c r="AA863" s="135"/>
      <c r="AB863" s="135"/>
      <c r="AC863" s="135"/>
    </row>
    <row r="864" ht="15.75" customHeight="1">
      <c r="A864" s="135"/>
      <c r="B864" s="135"/>
      <c r="C864" s="135"/>
      <c r="D864" s="13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  <c r="U864" s="135"/>
      <c r="V864" s="135"/>
      <c r="W864" s="135"/>
      <c r="X864" s="135"/>
      <c r="Y864" s="135"/>
      <c r="Z864" s="135"/>
      <c r="AA864" s="135"/>
      <c r="AB864" s="135"/>
      <c r="AC864" s="135"/>
    </row>
    <row r="865" ht="15.75" customHeight="1">
      <c r="A865" s="135"/>
      <c r="B865" s="135"/>
      <c r="C865" s="135"/>
      <c r="D865" s="13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  <c r="U865" s="135"/>
      <c r="V865" s="135"/>
      <c r="W865" s="135"/>
      <c r="X865" s="135"/>
      <c r="Y865" s="135"/>
      <c r="Z865" s="135"/>
      <c r="AA865" s="135"/>
      <c r="AB865" s="135"/>
      <c r="AC865" s="135"/>
    </row>
    <row r="866" ht="15.75" customHeight="1">
      <c r="A866" s="135"/>
      <c r="B866" s="135"/>
      <c r="C866" s="135"/>
      <c r="D866" s="13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  <c r="U866" s="135"/>
      <c r="V866" s="135"/>
      <c r="W866" s="135"/>
      <c r="X866" s="135"/>
      <c r="Y866" s="135"/>
      <c r="Z866" s="135"/>
      <c r="AA866" s="135"/>
      <c r="AB866" s="135"/>
      <c r="AC866" s="135"/>
    </row>
    <row r="867" ht="15.75" customHeight="1">
      <c r="A867" s="135"/>
      <c r="B867" s="135"/>
      <c r="C867" s="135"/>
      <c r="D867" s="13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  <c r="U867" s="135"/>
      <c r="V867" s="135"/>
      <c r="W867" s="135"/>
      <c r="X867" s="135"/>
      <c r="Y867" s="135"/>
      <c r="Z867" s="135"/>
      <c r="AA867" s="135"/>
      <c r="AB867" s="135"/>
      <c r="AC867" s="135"/>
    </row>
    <row r="868" ht="15.75" customHeight="1">
      <c r="A868" s="135"/>
      <c r="B868" s="135"/>
      <c r="C868" s="135"/>
      <c r="D868" s="13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  <c r="U868" s="135"/>
      <c r="V868" s="135"/>
      <c r="W868" s="135"/>
      <c r="X868" s="135"/>
      <c r="Y868" s="135"/>
      <c r="Z868" s="135"/>
      <c r="AA868" s="135"/>
      <c r="AB868" s="135"/>
      <c r="AC868" s="135"/>
    </row>
    <row r="869" ht="15.75" customHeight="1">
      <c r="A869" s="135"/>
      <c r="B869" s="135"/>
      <c r="C869" s="135"/>
      <c r="D869" s="13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  <c r="U869" s="135"/>
      <c r="V869" s="135"/>
      <c r="W869" s="135"/>
      <c r="X869" s="135"/>
      <c r="Y869" s="135"/>
      <c r="Z869" s="135"/>
      <c r="AA869" s="135"/>
      <c r="AB869" s="135"/>
      <c r="AC869" s="135"/>
    </row>
    <row r="870" ht="15.75" customHeight="1">
      <c r="A870" s="135"/>
      <c r="B870" s="135"/>
      <c r="C870" s="135"/>
      <c r="D870" s="13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  <c r="U870" s="135"/>
      <c r="V870" s="135"/>
      <c r="W870" s="135"/>
      <c r="X870" s="135"/>
      <c r="Y870" s="135"/>
      <c r="Z870" s="135"/>
      <c r="AA870" s="135"/>
      <c r="AB870" s="135"/>
      <c r="AC870" s="135"/>
    </row>
    <row r="871" ht="15.75" customHeight="1">
      <c r="A871" s="135"/>
      <c r="B871" s="135"/>
      <c r="C871" s="135"/>
      <c r="D871" s="13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  <c r="U871" s="135"/>
      <c r="V871" s="135"/>
      <c r="W871" s="135"/>
      <c r="X871" s="135"/>
      <c r="Y871" s="135"/>
      <c r="Z871" s="135"/>
      <c r="AA871" s="135"/>
      <c r="AB871" s="135"/>
      <c r="AC871" s="135"/>
    </row>
    <row r="872" ht="15.75" customHeight="1">
      <c r="A872" s="135"/>
      <c r="B872" s="135"/>
      <c r="C872" s="135"/>
      <c r="D872" s="13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  <c r="U872" s="135"/>
      <c r="V872" s="135"/>
      <c r="W872" s="135"/>
      <c r="X872" s="135"/>
      <c r="Y872" s="135"/>
      <c r="Z872" s="135"/>
      <c r="AA872" s="135"/>
      <c r="AB872" s="135"/>
      <c r="AC872" s="135"/>
    </row>
    <row r="873" ht="15.75" customHeight="1">
      <c r="A873" s="135"/>
      <c r="B873" s="135"/>
      <c r="C873" s="135"/>
      <c r="D873" s="13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  <c r="U873" s="135"/>
      <c r="V873" s="135"/>
      <c r="W873" s="135"/>
      <c r="X873" s="135"/>
      <c r="Y873" s="135"/>
      <c r="Z873" s="135"/>
      <c r="AA873" s="135"/>
      <c r="AB873" s="135"/>
      <c r="AC873" s="135"/>
    </row>
    <row r="874" ht="15.75" customHeight="1">
      <c r="A874" s="135"/>
      <c r="B874" s="135"/>
      <c r="C874" s="135"/>
      <c r="D874" s="13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  <c r="U874" s="135"/>
      <c r="V874" s="135"/>
      <c r="W874" s="135"/>
      <c r="X874" s="135"/>
      <c r="Y874" s="135"/>
      <c r="Z874" s="135"/>
      <c r="AA874" s="135"/>
      <c r="AB874" s="135"/>
      <c r="AC874" s="135"/>
    </row>
    <row r="875" ht="15.75" customHeight="1">
      <c r="A875" s="135"/>
      <c r="B875" s="135"/>
      <c r="C875" s="135"/>
      <c r="D875" s="13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  <c r="U875" s="135"/>
      <c r="V875" s="135"/>
      <c r="W875" s="135"/>
      <c r="X875" s="135"/>
      <c r="Y875" s="135"/>
      <c r="Z875" s="135"/>
      <c r="AA875" s="135"/>
      <c r="AB875" s="135"/>
      <c r="AC875" s="135"/>
    </row>
    <row r="876" ht="15.75" customHeight="1">
      <c r="A876" s="135"/>
      <c r="B876" s="135"/>
      <c r="C876" s="135"/>
      <c r="D876" s="13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  <c r="U876" s="135"/>
      <c r="V876" s="135"/>
      <c r="W876" s="135"/>
      <c r="X876" s="135"/>
      <c r="Y876" s="135"/>
      <c r="Z876" s="135"/>
      <c r="AA876" s="135"/>
      <c r="AB876" s="135"/>
      <c r="AC876" s="135"/>
    </row>
    <row r="877" ht="15.75" customHeight="1">
      <c r="A877" s="135"/>
      <c r="B877" s="135"/>
      <c r="C877" s="135"/>
      <c r="D877" s="13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  <c r="U877" s="135"/>
      <c r="V877" s="135"/>
      <c r="W877" s="135"/>
      <c r="X877" s="135"/>
      <c r="Y877" s="135"/>
      <c r="Z877" s="135"/>
      <c r="AA877" s="135"/>
      <c r="AB877" s="135"/>
      <c r="AC877" s="135"/>
    </row>
    <row r="878" ht="15.75" customHeight="1">
      <c r="A878" s="135"/>
      <c r="B878" s="135"/>
      <c r="C878" s="135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  <c r="V878" s="135"/>
      <c r="W878" s="135"/>
      <c r="X878" s="135"/>
      <c r="Y878" s="135"/>
      <c r="Z878" s="135"/>
      <c r="AA878" s="135"/>
      <c r="AB878" s="135"/>
      <c r="AC878" s="135"/>
    </row>
    <row r="879" ht="15.75" customHeight="1">
      <c r="A879" s="135"/>
      <c r="B879" s="135"/>
      <c r="C879" s="135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  <c r="V879" s="135"/>
      <c r="W879" s="135"/>
      <c r="X879" s="135"/>
      <c r="Y879" s="135"/>
      <c r="Z879" s="135"/>
      <c r="AA879" s="135"/>
      <c r="AB879" s="135"/>
      <c r="AC879" s="135"/>
    </row>
    <row r="880" ht="15.75" customHeight="1">
      <c r="A880" s="135"/>
      <c r="B880" s="135"/>
      <c r="C880" s="135"/>
      <c r="D880" s="13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  <c r="U880" s="135"/>
      <c r="V880" s="135"/>
      <c r="W880" s="135"/>
      <c r="X880" s="135"/>
      <c r="Y880" s="135"/>
      <c r="Z880" s="135"/>
      <c r="AA880" s="135"/>
      <c r="AB880" s="135"/>
      <c r="AC880" s="135"/>
    </row>
    <row r="881" ht="15.75" customHeight="1">
      <c r="A881" s="135"/>
      <c r="B881" s="135"/>
      <c r="C881" s="135"/>
      <c r="D881" s="13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  <c r="U881" s="135"/>
      <c r="V881" s="135"/>
      <c r="W881" s="135"/>
      <c r="X881" s="135"/>
      <c r="Y881" s="135"/>
      <c r="Z881" s="135"/>
      <c r="AA881" s="135"/>
      <c r="AB881" s="135"/>
      <c r="AC881" s="135"/>
    </row>
    <row r="882" ht="15.75" customHeight="1">
      <c r="A882" s="135"/>
      <c r="B882" s="135"/>
      <c r="C882" s="135"/>
      <c r="D882" s="13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  <c r="U882" s="135"/>
      <c r="V882" s="135"/>
      <c r="W882" s="135"/>
      <c r="X882" s="135"/>
      <c r="Y882" s="135"/>
      <c r="Z882" s="135"/>
      <c r="AA882" s="135"/>
      <c r="AB882" s="135"/>
      <c r="AC882" s="135"/>
    </row>
    <row r="883" ht="15.75" customHeight="1">
      <c r="A883" s="135"/>
      <c r="B883" s="135"/>
      <c r="C883" s="135"/>
      <c r="D883" s="13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  <c r="U883" s="135"/>
      <c r="V883" s="135"/>
      <c r="W883" s="135"/>
      <c r="X883" s="135"/>
      <c r="Y883" s="135"/>
      <c r="Z883" s="135"/>
      <c r="AA883" s="135"/>
      <c r="AB883" s="135"/>
      <c r="AC883" s="135"/>
    </row>
    <row r="884" ht="15.75" customHeight="1">
      <c r="A884" s="135"/>
      <c r="B884" s="135"/>
      <c r="C884" s="135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  <c r="V884" s="135"/>
      <c r="W884" s="135"/>
      <c r="X884" s="135"/>
      <c r="Y884" s="135"/>
      <c r="Z884" s="135"/>
      <c r="AA884" s="135"/>
      <c r="AB884" s="135"/>
      <c r="AC884" s="135"/>
    </row>
    <row r="885" ht="15.75" customHeight="1">
      <c r="A885" s="135"/>
      <c r="B885" s="135"/>
      <c r="C885" s="135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  <c r="V885" s="135"/>
      <c r="W885" s="135"/>
      <c r="X885" s="135"/>
      <c r="Y885" s="135"/>
      <c r="Z885" s="135"/>
      <c r="AA885" s="135"/>
      <c r="AB885" s="135"/>
      <c r="AC885" s="135"/>
    </row>
    <row r="886" ht="15.75" customHeight="1">
      <c r="A886" s="135"/>
      <c r="B886" s="135"/>
      <c r="C886" s="135"/>
      <c r="D886" s="13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  <c r="U886" s="135"/>
      <c r="V886" s="135"/>
      <c r="W886" s="135"/>
      <c r="X886" s="135"/>
      <c r="Y886" s="135"/>
      <c r="Z886" s="135"/>
      <c r="AA886" s="135"/>
      <c r="AB886" s="135"/>
      <c r="AC886" s="135"/>
    </row>
    <row r="887" ht="15.75" customHeight="1">
      <c r="A887" s="135"/>
      <c r="B887" s="135"/>
      <c r="C887" s="135"/>
      <c r="D887" s="13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  <c r="U887" s="135"/>
      <c r="V887" s="135"/>
      <c r="W887" s="135"/>
      <c r="X887" s="135"/>
      <c r="Y887" s="135"/>
      <c r="Z887" s="135"/>
      <c r="AA887" s="135"/>
      <c r="AB887" s="135"/>
      <c r="AC887" s="135"/>
    </row>
    <row r="888" ht="15.75" customHeight="1">
      <c r="A888" s="135"/>
      <c r="B888" s="135"/>
      <c r="C888" s="135"/>
      <c r="D888" s="13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  <c r="U888" s="135"/>
      <c r="V888" s="135"/>
      <c r="W888" s="135"/>
      <c r="X888" s="135"/>
      <c r="Y888" s="135"/>
      <c r="Z888" s="135"/>
      <c r="AA888" s="135"/>
      <c r="AB888" s="135"/>
      <c r="AC888" s="135"/>
    </row>
    <row r="889" ht="15.75" customHeight="1">
      <c r="A889" s="135"/>
      <c r="B889" s="135"/>
      <c r="C889" s="135"/>
      <c r="D889" s="13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5"/>
      <c r="V889" s="135"/>
      <c r="W889" s="135"/>
      <c r="X889" s="135"/>
      <c r="Y889" s="135"/>
      <c r="Z889" s="135"/>
      <c r="AA889" s="135"/>
      <c r="AB889" s="135"/>
      <c r="AC889" s="135"/>
    </row>
    <row r="890" ht="15.75" customHeight="1">
      <c r="A890" s="135"/>
      <c r="B890" s="135"/>
      <c r="C890" s="135"/>
      <c r="D890" s="13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  <c r="U890" s="135"/>
      <c r="V890" s="135"/>
      <c r="W890" s="135"/>
      <c r="X890" s="135"/>
      <c r="Y890" s="135"/>
      <c r="Z890" s="135"/>
      <c r="AA890" s="135"/>
      <c r="AB890" s="135"/>
      <c r="AC890" s="135"/>
    </row>
    <row r="891" ht="15.75" customHeight="1">
      <c r="A891" s="135"/>
      <c r="B891" s="135"/>
      <c r="C891" s="135"/>
      <c r="D891" s="13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  <c r="U891" s="135"/>
      <c r="V891" s="135"/>
      <c r="W891" s="135"/>
      <c r="X891" s="135"/>
      <c r="Y891" s="135"/>
      <c r="Z891" s="135"/>
      <c r="AA891" s="135"/>
      <c r="AB891" s="135"/>
      <c r="AC891" s="135"/>
    </row>
    <row r="892" ht="15.75" customHeight="1">
      <c r="A892" s="135"/>
      <c r="B892" s="135"/>
      <c r="C892" s="135"/>
      <c r="D892" s="13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  <c r="U892" s="135"/>
      <c r="V892" s="135"/>
      <c r="W892" s="135"/>
      <c r="X892" s="135"/>
      <c r="Y892" s="135"/>
      <c r="Z892" s="135"/>
      <c r="AA892" s="135"/>
      <c r="AB892" s="135"/>
      <c r="AC892" s="135"/>
    </row>
    <row r="893" ht="15.75" customHeight="1">
      <c r="A893" s="135"/>
      <c r="B893" s="135"/>
      <c r="C893" s="135"/>
      <c r="D893" s="13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  <c r="U893" s="135"/>
      <c r="V893" s="135"/>
      <c r="W893" s="135"/>
      <c r="X893" s="135"/>
      <c r="Y893" s="135"/>
      <c r="Z893" s="135"/>
      <c r="AA893" s="135"/>
      <c r="AB893" s="135"/>
      <c r="AC893" s="135"/>
    </row>
    <row r="894" ht="15.75" customHeight="1">
      <c r="A894" s="135"/>
      <c r="B894" s="135"/>
      <c r="C894" s="135"/>
      <c r="D894" s="13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  <c r="U894" s="135"/>
      <c r="V894" s="135"/>
      <c r="W894" s="135"/>
      <c r="X894" s="135"/>
      <c r="Y894" s="135"/>
      <c r="Z894" s="135"/>
      <c r="AA894" s="135"/>
      <c r="AB894" s="135"/>
      <c r="AC894" s="135"/>
    </row>
    <row r="895" ht="15.75" customHeight="1">
      <c r="A895" s="135"/>
      <c r="B895" s="135"/>
      <c r="C895" s="135"/>
      <c r="D895" s="13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  <c r="U895" s="135"/>
      <c r="V895" s="135"/>
      <c r="W895" s="135"/>
      <c r="X895" s="135"/>
      <c r="Y895" s="135"/>
      <c r="Z895" s="135"/>
      <c r="AA895" s="135"/>
      <c r="AB895" s="135"/>
      <c r="AC895" s="135"/>
    </row>
    <row r="896" ht="15.75" customHeight="1">
      <c r="A896" s="135"/>
      <c r="B896" s="135"/>
      <c r="C896" s="135"/>
      <c r="D896" s="13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  <c r="U896" s="135"/>
      <c r="V896" s="135"/>
      <c r="W896" s="135"/>
      <c r="X896" s="135"/>
      <c r="Y896" s="135"/>
      <c r="Z896" s="135"/>
      <c r="AA896" s="135"/>
      <c r="AB896" s="135"/>
      <c r="AC896" s="135"/>
    </row>
    <row r="897" ht="15.75" customHeight="1">
      <c r="A897" s="135"/>
      <c r="B897" s="135"/>
      <c r="C897" s="135"/>
      <c r="D897" s="13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  <c r="U897" s="135"/>
      <c r="V897" s="135"/>
      <c r="W897" s="135"/>
      <c r="X897" s="135"/>
      <c r="Y897" s="135"/>
      <c r="Z897" s="135"/>
      <c r="AA897" s="135"/>
      <c r="AB897" s="135"/>
      <c r="AC897" s="135"/>
    </row>
    <row r="898" ht="15.75" customHeight="1">
      <c r="A898" s="135"/>
      <c r="B898" s="135"/>
      <c r="C898" s="135"/>
      <c r="D898" s="13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  <c r="U898" s="135"/>
      <c r="V898" s="135"/>
      <c r="W898" s="135"/>
      <c r="X898" s="135"/>
      <c r="Y898" s="135"/>
      <c r="Z898" s="135"/>
      <c r="AA898" s="135"/>
      <c r="AB898" s="135"/>
      <c r="AC898" s="135"/>
    </row>
    <row r="899" ht="15.75" customHeight="1">
      <c r="A899" s="135"/>
      <c r="B899" s="135"/>
      <c r="C899" s="135"/>
      <c r="D899" s="13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  <c r="U899" s="135"/>
      <c r="V899" s="135"/>
      <c r="W899" s="135"/>
      <c r="X899" s="135"/>
      <c r="Y899" s="135"/>
      <c r="Z899" s="135"/>
      <c r="AA899" s="135"/>
      <c r="AB899" s="135"/>
      <c r="AC899" s="135"/>
    </row>
    <row r="900" ht="15.75" customHeight="1">
      <c r="A900" s="135"/>
      <c r="B900" s="135"/>
      <c r="C900" s="135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  <c r="U900" s="135"/>
      <c r="V900" s="135"/>
      <c r="W900" s="135"/>
      <c r="X900" s="135"/>
      <c r="Y900" s="135"/>
      <c r="Z900" s="135"/>
      <c r="AA900" s="135"/>
      <c r="AB900" s="135"/>
      <c r="AC900" s="135"/>
    </row>
    <row r="901" ht="15.75" customHeight="1">
      <c r="A901" s="135"/>
      <c r="B901" s="135"/>
      <c r="C901" s="135"/>
      <c r="D901" s="13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  <c r="U901" s="135"/>
      <c r="V901" s="135"/>
      <c r="W901" s="135"/>
      <c r="X901" s="135"/>
      <c r="Y901" s="135"/>
      <c r="Z901" s="135"/>
      <c r="AA901" s="135"/>
      <c r="AB901" s="135"/>
      <c r="AC901" s="135"/>
    </row>
    <row r="902" ht="15.75" customHeight="1">
      <c r="A902" s="135"/>
      <c r="B902" s="135"/>
      <c r="C902" s="135"/>
      <c r="D902" s="13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  <c r="U902" s="135"/>
      <c r="V902" s="135"/>
      <c r="W902" s="135"/>
      <c r="X902" s="135"/>
      <c r="Y902" s="135"/>
      <c r="Z902" s="135"/>
      <c r="AA902" s="135"/>
      <c r="AB902" s="135"/>
      <c r="AC902" s="135"/>
    </row>
    <row r="903" ht="15.75" customHeight="1">
      <c r="A903" s="135"/>
      <c r="B903" s="135"/>
      <c r="C903" s="135"/>
      <c r="D903" s="13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  <c r="U903" s="135"/>
      <c r="V903" s="135"/>
      <c r="W903" s="135"/>
      <c r="X903" s="135"/>
      <c r="Y903" s="135"/>
      <c r="Z903" s="135"/>
      <c r="AA903" s="135"/>
      <c r="AB903" s="135"/>
      <c r="AC903" s="135"/>
    </row>
    <row r="904" ht="15.75" customHeight="1">
      <c r="A904" s="135"/>
      <c r="B904" s="135"/>
      <c r="C904" s="135"/>
      <c r="D904" s="13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  <c r="U904" s="135"/>
      <c r="V904" s="135"/>
      <c r="W904" s="135"/>
      <c r="X904" s="135"/>
      <c r="Y904" s="135"/>
      <c r="Z904" s="135"/>
      <c r="AA904" s="135"/>
      <c r="AB904" s="135"/>
      <c r="AC904" s="135"/>
    </row>
    <row r="905" ht="15.75" customHeight="1">
      <c r="A905" s="135"/>
      <c r="B905" s="135"/>
      <c r="C905" s="135"/>
      <c r="D905" s="13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  <c r="U905" s="135"/>
      <c r="V905" s="135"/>
      <c r="W905" s="135"/>
      <c r="X905" s="135"/>
      <c r="Y905" s="135"/>
      <c r="Z905" s="135"/>
      <c r="AA905" s="135"/>
      <c r="AB905" s="135"/>
      <c r="AC905" s="135"/>
    </row>
    <row r="906" ht="15.75" customHeight="1">
      <c r="A906" s="135"/>
      <c r="B906" s="135"/>
      <c r="C906" s="135"/>
      <c r="D906" s="13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  <c r="U906" s="135"/>
      <c r="V906" s="135"/>
      <c r="W906" s="135"/>
      <c r="X906" s="135"/>
      <c r="Y906" s="135"/>
      <c r="Z906" s="135"/>
      <c r="AA906" s="135"/>
      <c r="AB906" s="135"/>
      <c r="AC906" s="135"/>
    </row>
    <row r="907" ht="15.75" customHeight="1">
      <c r="A907" s="135"/>
      <c r="B907" s="135"/>
      <c r="C907" s="135"/>
      <c r="D907" s="13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  <c r="U907" s="135"/>
      <c r="V907" s="135"/>
      <c r="W907" s="135"/>
      <c r="X907" s="135"/>
      <c r="Y907" s="135"/>
      <c r="Z907" s="135"/>
      <c r="AA907" s="135"/>
      <c r="AB907" s="135"/>
      <c r="AC907" s="135"/>
    </row>
    <row r="908" ht="15.75" customHeight="1">
      <c r="A908" s="135"/>
      <c r="B908" s="135"/>
      <c r="C908" s="135"/>
      <c r="D908" s="13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  <c r="U908" s="135"/>
      <c r="V908" s="135"/>
      <c r="W908" s="135"/>
      <c r="X908" s="135"/>
      <c r="Y908" s="135"/>
      <c r="Z908" s="135"/>
      <c r="AA908" s="135"/>
      <c r="AB908" s="135"/>
      <c r="AC908" s="135"/>
    </row>
    <row r="909" ht="15.75" customHeight="1">
      <c r="A909" s="135"/>
      <c r="B909" s="135"/>
      <c r="C909" s="135"/>
      <c r="D909" s="13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  <c r="U909" s="135"/>
      <c r="V909" s="135"/>
      <c r="W909" s="135"/>
      <c r="X909" s="135"/>
      <c r="Y909" s="135"/>
      <c r="Z909" s="135"/>
      <c r="AA909" s="135"/>
      <c r="AB909" s="135"/>
      <c r="AC909" s="135"/>
    </row>
    <row r="910" ht="15.75" customHeight="1">
      <c r="A910" s="135"/>
      <c r="B910" s="135"/>
      <c r="C910" s="135"/>
      <c r="D910" s="13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  <c r="R910" s="135"/>
      <c r="S910" s="135"/>
      <c r="T910" s="135"/>
      <c r="U910" s="135"/>
      <c r="V910" s="135"/>
      <c r="W910" s="135"/>
      <c r="X910" s="135"/>
      <c r="Y910" s="135"/>
      <c r="Z910" s="135"/>
      <c r="AA910" s="135"/>
      <c r="AB910" s="135"/>
      <c r="AC910" s="135"/>
    </row>
    <row r="911" ht="15.75" customHeight="1">
      <c r="A911" s="135"/>
      <c r="B911" s="135"/>
      <c r="C911" s="135"/>
      <c r="D911" s="13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  <c r="U911" s="135"/>
      <c r="V911" s="135"/>
      <c r="W911" s="135"/>
      <c r="X911" s="135"/>
      <c r="Y911" s="135"/>
      <c r="Z911" s="135"/>
      <c r="AA911" s="135"/>
      <c r="AB911" s="135"/>
      <c r="AC911" s="135"/>
    </row>
    <row r="912" ht="15.75" customHeight="1">
      <c r="A912" s="135"/>
      <c r="B912" s="135"/>
      <c r="C912" s="135"/>
      <c r="D912" s="13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  <c r="R912" s="135"/>
      <c r="S912" s="135"/>
      <c r="T912" s="135"/>
      <c r="U912" s="135"/>
      <c r="V912" s="135"/>
      <c r="W912" s="135"/>
      <c r="X912" s="135"/>
      <c r="Y912" s="135"/>
      <c r="Z912" s="135"/>
      <c r="AA912" s="135"/>
      <c r="AB912" s="135"/>
      <c r="AC912" s="135"/>
    </row>
    <row r="913" ht="15.75" customHeight="1">
      <c r="A913" s="135"/>
      <c r="B913" s="135"/>
      <c r="C913" s="135"/>
      <c r="D913" s="13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  <c r="R913" s="135"/>
      <c r="S913" s="135"/>
      <c r="T913" s="135"/>
      <c r="U913" s="135"/>
      <c r="V913" s="135"/>
      <c r="W913" s="135"/>
      <c r="X913" s="135"/>
      <c r="Y913" s="135"/>
      <c r="Z913" s="135"/>
      <c r="AA913" s="135"/>
      <c r="AB913" s="135"/>
      <c r="AC913" s="135"/>
    </row>
    <row r="914" ht="15.75" customHeight="1">
      <c r="A914" s="135"/>
      <c r="B914" s="135"/>
      <c r="C914" s="135"/>
      <c r="D914" s="13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  <c r="R914" s="135"/>
      <c r="S914" s="135"/>
      <c r="T914" s="135"/>
      <c r="U914" s="135"/>
      <c r="V914" s="135"/>
      <c r="W914" s="135"/>
      <c r="X914" s="135"/>
      <c r="Y914" s="135"/>
      <c r="Z914" s="135"/>
      <c r="AA914" s="135"/>
      <c r="AB914" s="135"/>
      <c r="AC914" s="135"/>
    </row>
    <row r="915" ht="15.75" customHeight="1">
      <c r="A915" s="135"/>
      <c r="B915" s="135"/>
      <c r="C915" s="135"/>
      <c r="D915" s="13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  <c r="R915" s="135"/>
      <c r="S915" s="135"/>
      <c r="T915" s="135"/>
      <c r="U915" s="135"/>
      <c r="V915" s="135"/>
      <c r="W915" s="135"/>
      <c r="X915" s="135"/>
      <c r="Y915" s="135"/>
      <c r="Z915" s="135"/>
      <c r="AA915" s="135"/>
      <c r="AB915" s="135"/>
      <c r="AC915" s="135"/>
    </row>
    <row r="916" ht="15.75" customHeight="1">
      <c r="A916" s="135"/>
      <c r="B916" s="135"/>
      <c r="C916" s="135"/>
      <c r="D916" s="13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  <c r="R916" s="135"/>
      <c r="S916" s="135"/>
      <c r="T916" s="135"/>
      <c r="U916" s="135"/>
      <c r="V916" s="135"/>
      <c r="W916" s="135"/>
      <c r="X916" s="135"/>
      <c r="Y916" s="135"/>
      <c r="Z916" s="135"/>
      <c r="AA916" s="135"/>
      <c r="AB916" s="135"/>
      <c r="AC916" s="135"/>
    </row>
    <row r="917" ht="15.75" customHeight="1">
      <c r="A917" s="135"/>
      <c r="B917" s="135"/>
      <c r="C917" s="135"/>
      <c r="D917" s="13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  <c r="R917" s="135"/>
      <c r="S917" s="135"/>
      <c r="T917" s="135"/>
      <c r="U917" s="135"/>
      <c r="V917" s="135"/>
      <c r="W917" s="135"/>
      <c r="X917" s="135"/>
      <c r="Y917" s="135"/>
      <c r="Z917" s="135"/>
      <c r="AA917" s="135"/>
      <c r="AB917" s="135"/>
      <c r="AC917" s="135"/>
    </row>
    <row r="918" ht="15.75" customHeight="1">
      <c r="A918" s="135"/>
      <c r="B918" s="135"/>
      <c r="C918" s="135"/>
      <c r="D918" s="13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  <c r="R918" s="135"/>
      <c r="S918" s="135"/>
      <c r="T918" s="135"/>
      <c r="U918" s="135"/>
      <c r="V918" s="135"/>
      <c r="W918" s="135"/>
      <c r="X918" s="135"/>
      <c r="Y918" s="135"/>
      <c r="Z918" s="135"/>
      <c r="AA918" s="135"/>
      <c r="AB918" s="135"/>
      <c r="AC918" s="135"/>
    </row>
    <row r="919" ht="15.75" customHeight="1">
      <c r="A919" s="135"/>
      <c r="B919" s="135"/>
      <c r="C919" s="135"/>
      <c r="D919" s="13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  <c r="R919" s="135"/>
      <c r="S919" s="135"/>
      <c r="T919" s="135"/>
      <c r="U919" s="135"/>
      <c r="V919" s="135"/>
      <c r="W919" s="135"/>
      <c r="X919" s="135"/>
      <c r="Y919" s="135"/>
      <c r="Z919" s="135"/>
      <c r="AA919" s="135"/>
      <c r="AB919" s="135"/>
      <c r="AC919" s="135"/>
    </row>
    <row r="920" ht="15.75" customHeight="1">
      <c r="A920" s="135"/>
      <c r="B920" s="135"/>
      <c r="C920" s="135"/>
      <c r="D920" s="13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  <c r="R920" s="135"/>
      <c r="S920" s="135"/>
      <c r="T920" s="135"/>
      <c r="U920" s="135"/>
      <c r="V920" s="135"/>
      <c r="W920" s="135"/>
      <c r="X920" s="135"/>
      <c r="Y920" s="135"/>
      <c r="Z920" s="135"/>
      <c r="AA920" s="135"/>
      <c r="AB920" s="135"/>
      <c r="AC920" s="135"/>
    </row>
    <row r="921" ht="15.75" customHeight="1">
      <c r="A921" s="135"/>
      <c r="B921" s="135"/>
      <c r="C921" s="135"/>
      <c r="D921" s="13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  <c r="R921" s="135"/>
      <c r="S921" s="135"/>
      <c r="T921" s="135"/>
      <c r="U921" s="135"/>
      <c r="V921" s="135"/>
      <c r="W921" s="135"/>
      <c r="X921" s="135"/>
      <c r="Y921" s="135"/>
      <c r="Z921" s="135"/>
      <c r="AA921" s="135"/>
      <c r="AB921" s="135"/>
      <c r="AC921" s="135"/>
    </row>
    <row r="922" ht="15.75" customHeight="1">
      <c r="A922" s="135"/>
      <c r="B922" s="135"/>
      <c r="C922" s="135"/>
      <c r="D922" s="13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  <c r="R922" s="135"/>
      <c r="S922" s="135"/>
      <c r="T922" s="135"/>
      <c r="U922" s="135"/>
      <c r="V922" s="135"/>
      <c r="W922" s="135"/>
      <c r="X922" s="135"/>
      <c r="Y922" s="135"/>
      <c r="Z922" s="135"/>
      <c r="AA922" s="135"/>
      <c r="AB922" s="135"/>
      <c r="AC922" s="135"/>
    </row>
    <row r="923" ht="15.75" customHeight="1">
      <c r="A923" s="135"/>
      <c r="B923" s="135"/>
      <c r="C923" s="135"/>
      <c r="D923" s="13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  <c r="R923" s="135"/>
      <c r="S923" s="135"/>
      <c r="T923" s="135"/>
      <c r="U923" s="135"/>
      <c r="V923" s="135"/>
      <c r="W923" s="135"/>
      <c r="X923" s="135"/>
      <c r="Y923" s="135"/>
      <c r="Z923" s="135"/>
      <c r="AA923" s="135"/>
      <c r="AB923" s="135"/>
      <c r="AC923" s="135"/>
    </row>
    <row r="924" ht="15.75" customHeight="1">
      <c r="A924" s="135"/>
      <c r="B924" s="135"/>
      <c r="C924" s="135"/>
      <c r="D924" s="13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  <c r="R924" s="135"/>
      <c r="S924" s="135"/>
      <c r="T924" s="135"/>
      <c r="U924" s="135"/>
      <c r="V924" s="135"/>
      <c r="W924" s="135"/>
      <c r="X924" s="135"/>
      <c r="Y924" s="135"/>
      <c r="Z924" s="135"/>
      <c r="AA924" s="135"/>
      <c r="AB924" s="135"/>
      <c r="AC924" s="135"/>
    </row>
    <row r="925" ht="15.75" customHeight="1">
      <c r="A925" s="135"/>
      <c r="B925" s="135"/>
      <c r="C925" s="135"/>
      <c r="D925" s="13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  <c r="R925" s="135"/>
      <c r="S925" s="135"/>
      <c r="T925" s="135"/>
      <c r="U925" s="135"/>
      <c r="V925" s="135"/>
      <c r="W925" s="135"/>
      <c r="X925" s="135"/>
      <c r="Y925" s="135"/>
      <c r="Z925" s="135"/>
      <c r="AA925" s="135"/>
      <c r="AB925" s="135"/>
      <c r="AC925" s="135"/>
    </row>
    <row r="926" ht="15.75" customHeight="1">
      <c r="A926" s="135"/>
      <c r="B926" s="135"/>
      <c r="C926" s="135"/>
      <c r="D926" s="135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  <c r="Q926" s="135"/>
      <c r="R926" s="135"/>
      <c r="S926" s="135"/>
      <c r="T926" s="135"/>
      <c r="U926" s="135"/>
      <c r="V926" s="135"/>
      <c r="W926" s="135"/>
      <c r="X926" s="135"/>
      <c r="Y926" s="135"/>
      <c r="Z926" s="135"/>
      <c r="AA926" s="135"/>
      <c r="AB926" s="135"/>
      <c r="AC926" s="135"/>
    </row>
    <row r="927" ht="15.75" customHeight="1">
      <c r="A927" s="135"/>
      <c r="B927" s="135"/>
      <c r="C927" s="135"/>
      <c r="D927" s="135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  <c r="Q927" s="135"/>
      <c r="R927" s="135"/>
      <c r="S927" s="135"/>
      <c r="T927" s="135"/>
      <c r="U927" s="135"/>
      <c r="V927" s="135"/>
      <c r="W927" s="135"/>
      <c r="X927" s="135"/>
      <c r="Y927" s="135"/>
      <c r="Z927" s="135"/>
      <c r="AA927" s="135"/>
      <c r="AB927" s="135"/>
      <c r="AC927" s="135"/>
    </row>
    <row r="928" ht="15.75" customHeight="1">
      <c r="A928" s="135"/>
      <c r="B928" s="135"/>
      <c r="C928" s="135"/>
      <c r="D928" s="135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  <c r="Q928" s="135"/>
      <c r="R928" s="135"/>
      <c r="S928" s="135"/>
      <c r="T928" s="135"/>
      <c r="U928" s="135"/>
      <c r="V928" s="135"/>
      <c r="W928" s="135"/>
      <c r="X928" s="135"/>
      <c r="Y928" s="135"/>
      <c r="Z928" s="135"/>
      <c r="AA928" s="135"/>
      <c r="AB928" s="135"/>
      <c r="AC928" s="135"/>
    </row>
    <row r="929" ht="15.75" customHeight="1">
      <c r="A929" s="135"/>
      <c r="B929" s="135"/>
      <c r="C929" s="135"/>
      <c r="D929" s="135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  <c r="Q929" s="135"/>
      <c r="R929" s="135"/>
      <c r="S929" s="135"/>
      <c r="T929" s="135"/>
      <c r="U929" s="135"/>
      <c r="V929" s="135"/>
      <c r="W929" s="135"/>
      <c r="X929" s="135"/>
      <c r="Y929" s="135"/>
      <c r="Z929" s="135"/>
      <c r="AA929" s="135"/>
      <c r="AB929" s="135"/>
      <c r="AC929" s="135"/>
    </row>
    <row r="930" ht="15.75" customHeight="1">
      <c r="A930" s="135"/>
      <c r="B930" s="135"/>
      <c r="C930" s="135"/>
      <c r="D930" s="135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  <c r="Q930" s="135"/>
      <c r="R930" s="135"/>
      <c r="S930" s="135"/>
      <c r="T930" s="135"/>
      <c r="U930" s="135"/>
      <c r="V930" s="135"/>
      <c r="W930" s="135"/>
      <c r="X930" s="135"/>
      <c r="Y930" s="135"/>
      <c r="Z930" s="135"/>
      <c r="AA930" s="135"/>
      <c r="AB930" s="135"/>
      <c r="AC930" s="135"/>
    </row>
    <row r="931" ht="15.75" customHeight="1">
      <c r="A931" s="135"/>
      <c r="B931" s="135"/>
      <c r="C931" s="135"/>
      <c r="D931" s="135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  <c r="Q931" s="135"/>
      <c r="R931" s="135"/>
      <c r="S931" s="135"/>
      <c r="T931" s="135"/>
      <c r="U931" s="135"/>
      <c r="V931" s="135"/>
      <c r="W931" s="135"/>
      <c r="X931" s="135"/>
      <c r="Y931" s="135"/>
      <c r="Z931" s="135"/>
      <c r="AA931" s="135"/>
      <c r="AB931" s="135"/>
      <c r="AC931" s="135"/>
    </row>
    <row r="932" ht="15.75" customHeight="1">
      <c r="A932" s="135"/>
      <c r="B932" s="135"/>
      <c r="C932" s="135"/>
      <c r="D932" s="13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  <c r="R932" s="135"/>
      <c r="S932" s="135"/>
      <c r="T932" s="135"/>
      <c r="U932" s="135"/>
      <c r="V932" s="135"/>
      <c r="W932" s="135"/>
      <c r="X932" s="135"/>
      <c r="Y932" s="135"/>
      <c r="Z932" s="135"/>
      <c r="AA932" s="135"/>
      <c r="AB932" s="135"/>
      <c r="AC932" s="135"/>
    </row>
    <row r="933" ht="15.75" customHeight="1">
      <c r="A933" s="135"/>
      <c r="B933" s="135"/>
      <c r="C933" s="135"/>
      <c r="D933" s="135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  <c r="Q933" s="135"/>
      <c r="R933" s="135"/>
      <c r="S933" s="135"/>
      <c r="T933" s="135"/>
      <c r="U933" s="135"/>
      <c r="V933" s="135"/>
      <c r="W933" s="135"/>
      <c r="X933" s="135"/>
      <c r="Y933" s="135"/>
      <c r="Z933" s="135"/>
      <c r="AA933" s="135"/>
      <c r="AB933" s="135"/>
      <c r="AC933" s="135"/>
    </row>
    <row r="934" ht="15.75" customHeight="1">
      <c r="A934" s="135"/>
      <c r="B934" s="135"/>
      <c r="C934" s="135"/>
      <c r="D934" s="135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  <c r="Q934" s="135"/>
      <c r="R934" s="135"/>
      <c r="S934" s="135"/>
      <c r="T934" s="135"/>
      <c r="U934" s="135"/>
      <c r="V934" s="135"/>
      <c r="W934" s="135"/>
      <c r="X934" s="135"/>
      <c r="Y934" s="135"/>
      <c r="Z934" s="135"/>
      <c r="AA934" s="135"/>
      <c r="AB934" s="135"/>
      <c r="AC934" s="135"/>
    </row>
    <row r="935" ht="15.75" customHeight="1">
      <c r="A935" s="135"/>
      <c r="B935" s="135"/>
      <c r="C935" s="135"/>
      <c r="D935" s="135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  <c r="Q935" s="135"/>
      <c r="R935" s="135"/>
      <c r="S935" s="135"/>
      <c r="T935" s="135"/>
      <c r="U935" s="135"/>
      <c r="V935" s="135"/>
      <c r="W935" s="135"/>
      <c r="X935" s="135"/>
      <c r="Y935" s="135"/>
      <c r="Z935" s="135"/>
      <c r="AA935" s="135"/>
      <c r="AB935" s="135"/>
      <c r="AC935" s="135"/>
    </row>
    <row r="936" ht="15.75" customHeight="1">
      <c r="A936" s="135"/>
      <c r="B936" s="135"/>
      <c r="C936" s="135"/>
      <c r="D936" s="135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  <c r="Q936" s="135"/>
      <c r="R936" s="135"/>
      <c r="S936" s="135"/>
      <c r="T936" s="135"/>
      <c r="U936" s="135"/>
      <c r="V936" s="135"/>
      <c r="W936" s="135"/>
      <c r="X936" s="135"/>
      <c r="Y936" s="135"/>
      <c r="Z936" s="135"/>
      <c r="AA936" s="135"/>
      <c r="AB936" s="135"/>
      <c r="AC936" s="135"/>
    </row>
    <row r="937" ht="15.75" customHeight="1">
      <c r="A937" s="135"/>
      <c r="B937" s="135"/>
      <c r="C937" s="135"/>
      <c r="D937" s="135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  <c r="Q937" s="135"/>
      <c r="R937" s="135"/>
      <c r="S937" s="135"/>
      <c r="T937" s="135"/>
      <c r="U937" s="135"/>
      <c r="V937" s="135"/>
      <c r="W937" s="135"/>
      <c r="X937" s="135"/>
      <c r="Y937" s="135"/>
      <c r="Z937" s="135"/>
      <c r="AA937" s="135"/>
      <c r="AB937" s="135"/>
      <c r="AC937" s="135"/>
    </row>
    <row r="938" ht="15.75" customHeight="1">
      <c r="A938" s="135"/>
      <c r="B938" s="135"/>
      <c r="C938" s="135"/>
      <c r="D938" s="135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  <c r="Q938" s="135"/>
      <c r="R938" s="135"/>
      <c r="S938" s="135"/>
      <c r="T938" s="135"/>
      <c r="U938" s="135"/>
      <c r="V938" s="135"/>
      <c r="W938" s="135"/>
      <c r="X938" s="135"/>
      <c r="Y938" s="135"/>
      <c r="Z938" s="135"/>
      <c r="AA938" s="135"/>
      <c r="AB938" s="135"/>
      <c r="AC938" s="135"/>
    </row>
    <row r="939" ht="15.75" customHeight="1">
      <c r="A939" s="135"/>
      <c r="B939" s="135"/>
      <c r="C939" s="135"/>
      <c r="D939" s="135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  <c r="Q939" s="135"/>
      <c r="R939" s="135"/>
      <c r="S939" s="135"/>
      <c r="T939" s="135"/>
      <c r="U939" s="135"/>
      <c r="V939" s="135"/>
      <c r="W939" s="135"/>
      <c r="X939" s="135"/>
      <c r="Y939" s="135"/>
      <c r="Z939" s="135"/>
      <c r="AA939" s="135"/>
      <c r="AB939" s="135"/>
      <c r="AC939" s="135"/>
    </row>
    <row r="940" ht="15.75" customHeight="1">
      <c r="A940" s="135"/>
      <c r="B940" s="135"/>
      <c r="C940" s="135"/>
      <c r="D940" s="135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  <c r="Q940" s="135"/>
      <c r="R940" s="135"/>
      <c r="S940" s="135"/>
      <c r="T940" s="135"/>
      <c r="U940" s="135"/>
      <c r="V940" s="135"/>
      <c r="W940" s="135"/>
      <c r="X940" s="135"/>
      <c r="Y940" s="135"/>
      <c r="Z940" s="135"/>
      <c r="AA940" s="135"/>
      <c r="AB940" s="135"/>
      <c r="AC940" s="135"/>
    </row>
    <row r="941" ht="15.75" customHeight="1">
      <c r="A941" s="135"/>
      <c r="B941" s="135"/>
      <c r="C941" s="135"/>
      <c r="D941" s="135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  <c r="Q941" s="135"/>
      <c r="R941" s="135"/>
      <c r="S941" s="135"/>
      <c r="T941" s="135"/>
      <c r="U941" s="135"/>
      <c r="V941" s="135"/>
      <c r="W941" s="135"/>
      <c r="X941" s="135"/>
      <c r="Y941" s="135"/>
      <c r="Z941" s="135"/>
      <c r="AA941" s="135"/>
      <c r="AB941" s="135"/>
      <c r="AC941" s="135"/>
    </row>
    <row r="942" ht="15.75" customHeight="1">
      <c r="A942" s="135"/>
      <c r="B942" s="135"/>
      <c r="C942" s="135"/>
      <c r="D942" s="135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  <c r="Q942" s="135"/>
      <c r="R942" s="135"/>
      <c r="S942" s="135"/>
      <c r="T942" s="135"/>
      <c r="U942" s="135"/>
      <c r="V942" s="135"/>
      <c r="W942" s="135"/>
      <c r="X942" s="135"/>
      <c r="Y942" s="135"/>
      <c r="Z942" s="135"/>
      <c r="AA942" s="135"/>
      <c r="AB942" s="135"/>
      <c r="AC942" s="135"/>
    </row>
    <row r="943" ht="15.75" customHeight="1">
      <c r="A943" s="135"/>
      <c r="B943" s="135"/>
      <c r="C943" s="135"/>
      <c r="D943" s="135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  <c r="Q943" s="135"/>
      <c r="R943" s="135"/>
      <c r="S943" s="135"/>
      <c r="T943" s="135"/>
      <c r="U943" s="135"/>
      <c r="V943" s="135"/>
      <c r="W943" s="135"/>
      <c r="X943" s="135"/>
      <c r="Y943" s="135"/>
      <c r="Z943" s="135"/>
      <c r="AA943" s="135"/>
      <c r="AB943" s="135"/>
      <c r="AC943" s="135"/>
    </row>
    <row r="944" ht="15.75" customHeight="1">
      <c r="A944" s="135"/>
      <c r="B944" s="135"/>
      <c r="C944" s="135"/>
      <c r="D944" s="135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  <c r="Q944" s="135"/>
      <c r="R944" s="135"/>
      <c r="S944" s="135"/>
      <c r="T944" s="135"/>
      <c r="U944" s="135"/>
      <c r="V944" s="135"/>
      <c r="W944" s="135"/>
      <c r="X944" s="135"/>
      <c r="Y944" s="135"/>
      <c r="Z944" s="135"/>
      <c r="AA944" s="135"/>
      <c r="AB944" s="135"/>
      <c r="AC944" s="135"/>
    </row>
    <row r="945" ht="15.75" customHeight="1">
      <c r="A945" s="135"/>
      <c r="B945" s="135"/>
      <c r="C945" s="135"/>
      <c r="D945" s="135"/>
      <c r="E945" s="135"/>
      <c r="F945" s="135"/>
      <c r="G945" s="135"/>
      <c r="H945" s="135"/>
      <c r="I945" s="135"/>
      <c r="J945" s="135"/>
      <c r="K945" s="135"/>
      <c r="L945" s="135"/>
      <c r="M945" s="135"/>
      <c r="N945" s="135"/>
      <c r="O945" s="135"/>
      <c r="P945" s="135"/>
      <c r="Q945" s="135"/>
      <c r="R945" s="135"/>
      <c r="S945" s="135"/>
      <c r="T945" s="135"/>
      <c r="U945" s="135"/>
      <c r="V945" s="135"/>
      <c r="W945" s="135"/>
      <c r="X945" s="135"/>
      <c r="Y945" s="135"/>
      <c r="Z945" s="135"/>
      <c r="AA945" s="135"/>
      <c r="AB945" s="135"/>
      <c r="AC945" s="135"/>
    </row>
    <row r="946" ht="15.75" customHeight="1">
      <c r="A946" s="135"/>
      <c r="B946" s="135"/>
      <c r="C946" s="135"/>
      <c r="D946" s="135"/>
      <c r="E946" s="135"/>
      <c r="F946" s="135"/>
      <c r="G946" s="135"/>
      <c r="H946" s="135"/>
      <c r="I946" s="135"/>
      <c r="J946" s="135"/>
      <c r="K946" s="135"/>
      <c r="L946" s="135"/>
      <c r="M946" s="135"/>
      <c r="N946" s="135"/>
      <c r="O946" s="135"/>
      <c r="P946" s="135"/>
      <c r="Q946" s="135"/>
      <c r="R946" s="135"/>
      <c r="S946" s="135"/>
      <c r="T946" s="135"/>
      <c r="U946" s="135"/>
      <c r="V946" s="135"/>
      <c r="W946" s="135"/>
      <c r="X946" s="135"/>
      <c r="Y946" s="135"/>
      <c r="Z946" s="135"/>
      <c r="AA946" s="135"/>
      <c r="AB946" s="135"/>
      <c r="AC946" s="135"/>
    </row>
    <row r="947" ht="15.75" customHeight="1">
      <c r="A947" s="135"/>
      <c r="B947" s="135"/>
      <c r="C947" s="135"/>
      <c r="D947" s="135"/>
      <c r="E947" s="135"/>
      <c r="F947" s="135"/>
      <c r="G947" s="135"/>
      <c r="H947" s="135"/>
      <c r="I947" s="135"/>
      <c r="J947" s="135"/>
      <c r="K947" s="135"/>
      <c r="L947" s="135"/>
      <c r="M947" s="135"/>
      <c r="N947" s="135"/>
      <c r="O947" s="135"/>
      <c r="P947" s="135"/>
      <c r="Q947" s="135"/>
      <c r="R947" s="135"/>
      <c r="S947" s="135"/>
      <c r="T947" s="135"/>
      <c r="U947" s="135"/>
      <c r="V947" s="135"/>
      <c r="W947" s="135"/>
      <c r="X947" s="135"/>
      <c r="Y947" s="135"/>
      <c r="Z947" s="135"/>
      <c r="AA947" s="135"/>
      <c r="AB947" s="135"/>
      <c r="AC947" s="135"/>
    </row>
    <row r="948" ht="15.75" customHeight="1">
      <c r="A948" s="135"/>
      <c r="B948" s="135"/>
      <c r="C948" s="135"/>
      <c r="D948" s="135"/>
      <c r="E948" s="135"/>
      <c r="F948" s="135"/>
      <c r="G948" s="135"/>
      <c r="H948" s="135"/>
      <c r="I948" s="135"/>
      <c r="J948" s="135"/>
      <c r="K948" s="135"/>
      <c r="L948" s="135"/>
      <c r="M948" s="135"/>
      <c r="N948" s="135"/>
      <c r="O948" s="135"/>
      <c r="P948" s="135"/>
      <c r="Q948" s="135"/>
      <c r="R948" s="135"/>
      <c r="S948" s="135"/>
      <c r="T948" s="135"/>
      <c r="U948" s="135"/>
      <c r="V948" s="135"/>
      <c r="W948" s="135"/>
      <c r="X948" s="135"/>
      <c r="Y948" s="135"/>
      <c r="Z948" s="135"/>
      <c r="AA948" s="135"/>
      <c r="AB948" s="135"/>
      <c r="AC948" s="135"/>
    </row>
    <row r="949" ht="15.75" customHeight="1">
      <c r="A949" s="135"/>
      <c r="B949" s="135"/>
      <c r="C949" s="135"/>
      <c r="D949" s="135"/>
      <c r="E949" s="135"/>
      <c r="F949" s="135"/>
      <c r="G949" s="135"/>
      <c r="H949" s="135"/>
      <c r="I949" s="135"/>
      <c r="J949" s="135"/>
      <c r="K949" s="135"/>
      <c r="L949" s="135"/>
      <c r="M949" s="135"/>
      <c r="N949" s="135"/>
      <c r="O949" s="135"/>
      <c r="P949" s="135"/>
      <c r="Q949" s="135"/>
      <c r="R949" s="135"/>
      <c r="S949" s="135"/>
      <c r="T949" s="135"/>
      <c r="U949" s="135"/>
      <c r="V949" s="135"/>
      <c r="W949" s="135"/>
      <c r="X949" s="135"/>
      <c r="Y949" s="135"/>
      <c r="Z949" s="135"/>
      <c r="AA949" s="135"/>
      <c r="AB949" s="135"/>
      <c r="AC949" s="135"/>
    </row>
    <row r="950" ht="15.75" customHeight="1">
      <c r="A950" s="135"/>
      <c r="B950" s="135"/>
      <c r="C950" s="135"/>
      <c r="D950" s="135"/>
      <c r="E950" s="135"/>
      <c r="F950" s="135"/>
      <c r="G950" s="135"/>
      <c r="H950" s="135"/>
      <c r="I950" s="135"/>
      <c r="J950" s="135"/>
      <c r="K950" s="135"/>
      <c r="L950" s="135"/>
      <c r="M950" s="135"/>
      <c r="N950" s="135"/>
      <c r="O950" s="135"/>
      <c r="P950" s="135"/>
      <c r="Q950" s="135"/>
      <c r="R950" s="135"/>
      <c r="S950" s="135"/>
      <c r="T950" s="135"/>
      <c r="U950" s="135"/>
      <c r="V950" s="135"/>
      <c r="W950" s="135"/>
      <c r="X950" s="135"/>
      <c r="Y950" s="135"/>
      <c r="Z950" s="135"/>
      <c r="AA950" s="135"/>
      <c r="AB950" s="135"/>
      <c r="AC950" s="135"/>
    </row>
    <row r="951" ht="15.75" customHeight="1">
      <c r="A951" s="135"/>
      <c r="B951" s="135"/>
      <c r="C951" s="135"/>
      <c r="D951" s="135"/>
      <c r="E951" s="135"/>
      <c r="F951" s="135"/>
      <c r="G951" s="135"/>
      <c r="H951" s="135"/>
      <c r="I951" s="135"/>
      <c r="J951" s="135"/>
      <c r="K951" s="135"/>
      <c r="L951" s="135"/>
      <c r="M951" s="135"/>
      <c r="N951" s="135"/>
      <c r="O951" s="135"/>
      <c r="P951" s="135"/>
      <c r="Q951" s="135"/>
      <c r="R951" s="135"/>
      <c r="S951" s="135"/>
      <c r="T951" s="135"/>
      <c r="U951" s="135"/>
      <c r="V951" s="135"/>
      <c r="W951" s="135"/>
      <c r="X951" s="135"/>
      <c r="Y951" s="135"/>
      <c r="Z951" s="135"/>
      <c r="AA951" s="135"/>
      <c r="AB951" s="135"/>
      <c r="AC951" s="135"/>
    </row>
    <row r="952" ht="15.75" customHeight="1">
      <c r="A952" s="135"/>
      <c r="B952" s="135"/>
      <c r="C952" s="135"/>
      <c r="D952" s="135"/>
      <c r="E952" s="135"/>
      <c r="F952" s="135"/>
      <c r="G952" s="135"/>
      <c r="H952" s="135"/>
      <c r="I952" s="135"/>
      <c r="J952" s="135"/>
      <c r="K952" s="135"/>
      <c r="L952" s="135"/>
      <c r="M952" s="135"/>
      <c r="N952" s="135"/>
      <c r="O952" s="135"/>
      <c r="P952" s="135"/>
      <c r="Q952" s="135"/>
      <c r="R952" s="135"/>
      <c r="S952" s="135"/>
      <c r="T952" s="135"/>
      <c r="U952" s="135"/>
      <c r="V952" s="135"/>
      <c r="W952" s="135"/>
      <c r="X952" s="135"/>
      <c r="Y952" s="135"/>
      <c r="Z952" s="135"/>
      <c r="AA952" s="135"/>
      <c r="AB952" s="135"/>
      <c r="AC952" s="135"/>
    </row>
    <row r="953" ht="15.75" customHeight="1">
      <c r="A953" s="135"/>
      <c r="B953" s="135"/>
      <c r="C953" s="135"/>
      <c r="D953" s="135"/>
      <c r="E953" s="135"/>
      <c r="F953" s="135"/>
      <c r="G953" s="135"/>
      <c r="H953" s="135"/>
      <c r="I953" s="135"/>
      <c r="J953" s="135"/>
      <c r="K953" s="135"/>
      <c r="L953" s="135"/>
      <c r="M953" s="135"/>
      <c r="N953" s="135"/>
      <c r="O953" s="135"/>
      <c r="P953" s="135"/>
      <c r="Q953" s="135"/>
      <c r="R953" s="135"/>
      <c r="S953" s="135"/>
      <c r="T953" s="135"/>
      <c r="U953" s="135"/>
      <c r="V953" s="135"/>
      <c r="W953" s="135"/>
      <c r="X953" s="135"/>
      <c r="Y953" s="135"/>
      <c r="Z953" s="135"/>
      <c r="AA953" s="135"/>
      <c r="AB953" s="135"/>
      <c r="AC953" s="135"/>
    </row>
    <row r="954" ht="15.75" customHeight="1">
      <c r="A954" s="135"/>
      <c r="B954" s="135"/>
      <c r="C954" s="135"/>
      <c r="D954" s="135"/>
      <c r="E954" s="135"/>
      <c r="F954" s="135"/>
      <c r="G954" s="135"/>
      <c r="H954" s="135"/>
      <c r="I954" s="135"/>
      <c r="J954" s="135"/>
      <c r="K954" s="135"/>
      <c r="L954" s="135"/>
      <c r="M954" s="135"/>
      <c r="N954" s="135"/>
      <c r="O954" s="135"/>
      <c r="P954" s="135"/>
      <c r="Q954" s="135"/>
      <c r="R954" s="135"/>
      <c r="S954" s="135"/>
      <c r="T954" s="135"/>
      <c r="U954" s="135"/>
      <c r="V954" s="135"/>
      <c r="W954" s="135"/>
      <c r="X954" s="135"/>
      <c r="Y954" s="135"/>
      <c r="Z954" s="135"/>
      <c r="AA954" s="135"/>
      <c r="AB954" s="135"/>
      <c r="AC954" s="135"/>
    </row>
    <row r="955" ht="15.75" customHeight="1">
      <c r="A955" s="135"/>
      <c r="B955" s="135"/>
      <c r="C955" s="135"/>
      <c r="D955" s="135"/>
      <c r="E955" s="135"/>
      <c r="F955" s="135"/>
      <c r="G955" s="135"/>
      <c r="H955" s="135"/>
      <c r="I955" s="135"/>
      <c r="J955" s="135"/>
      <c r="K955" s="135"/>
      <c r="L955" s="135"/>
      <c r="M955" s="135"/>
      <c r="N955" s="135"/>
      <c r="O955" s="135"/>
      <c r="P955" s="135"/>
      <c r="Q955" s="135"/>
      <c r="R955" s="135"/>
      <c r="S955" s="135"/>
      <c r="T955" s="135"/>
      <c r="U955" s="135"/>
      <c r="V955" s="135"/>
      <c r="W955" s="135"/>
      <c r="X955" s="135"/>
      <c r="Y955" s="135"/>
      <c r="Z955" s="135"/>
      <c r="AA955" s="135"/>
      <c r="AB955" s="135"/>
      <c r="AC955" s="135"/>
    </row>
    <row r="956" ht="15.75" customHeight="1">
      <c r="A956" s="135"/>
      <c r="B956" s="135"/>
      <c r="C956" s="135"/>
      <c r="D956" s="135"/>
      <c r="E956" s="135"/>
      <c r="F956" s="135"/>
      <c r="G956" s="135"/>
      <c r="H956" s="135"/>
      <c r="I956" s="135"/>
      <c r="J956" s="135"/>
      <c r="K956" s="135"/>
      <c r="L956" s="135"/>
      <c r="M956" s="135"/>
      <c r="N956" s="135"/>
      <c r="O956" s="135"/>
      <c r="P956" s="135"/>
      <c r="Q956" s="135"/>
      <c r="R956" s="135"/>
      <c r="S956" s="135"/>
      <c r="T956" s="135"/>
      <c r="U956" s="135"/>
      <c r="V956" s="135"/>
      <c r="W956" s="135"/>
      <c r="X956" s="135"/>
      <c r="Y956" s="135"/>
      <c r="Z956" s="135"/>
      <c r="AA956" s="135"/>
      <c r="AB956" s="135"/>
      <c r="AC956" s="135"/>
    </row>
    <row r="957" ht="15.75" customHeight="1">
      <c r="A957" s="135"/>
      <c r="B957" s="135"/>
      <c r="C957" s="135"/>
      <c r="D957" s="135"/>
      <c r="E957" s="135"/>
      <c r="F957" s="135"/>
      <c r="G957" s="135"/>
      <c r="H957" s="135"/>
      <c r="I957" s="135"/>
      <c r="J957" s="135"/>
      <c r="K957" s="135"/>
      <c r="L957" s="135"/>
      <c r="M957" s="135"/>
      <c r="N957" s="135"/>
      <c r="O957" s="135"/>
      <c r="P957" s="135"/>
      <c r="Q957" s="135"/>
      <c r="R957" s="135"/>
      <c r="S957" s="135"/>
      <c r="T957" s="135"/>
      <c r="U957" s="135"/>
      <c r="V957" s="135"/>
      <c r="W957" s="135"/>
      <c r="X957" s="135"/>
      <c r="Y957" s="135"/>
      <c r="Z957" s="135"/>
      <c r="AA957" s="135"/>
      <c r="AB957" s="135"/>
      <c r="AC957" s="135"/>
    </row>
    <row r="958" ht="15.75" customHeight="1">
      <c r="A958" s="135"/>
      <c r="B958" s="135"/>
      <c r="C958" s="135"/>
      <c r="D958" s="135"/>
      <c r="E958" s="135"/>
      <c r="F958" s="135"/>
      <c r="G958" s="135"/>
      <c r="H958" s="135"/>
      <c r="I958" s="135"/>
      <c r="J958" s="135"/>
      <c r="K958" s="135"/>
      <c r="L958" s="135"/>
      <c r="M958" s="135"/>
      <c r="N958" s="135"/>
      <c r="O958" s="135"/>
      <c r="P958" s="135"/>
      <c r="Q958" s="135"/>
      <c r="R958" s="135"/>
      <c r="S958" s="135"/>
      <c r="T958" s="135"/>
      <c r="U958" s="135"/>
      <c r="V958" s="135"/>
      <c r="W958" s="135"/>
      <c r="X958" s="135"/>
      <c r="Y958" s="135"/>
      <c r="Z958" s="135"/>
      <c r="AA958" s="135"/>
      <c r="AB958" s="135"/>
      <c r="AC958" s="135"/>
    </row>
    <row r="959" ht="15.75" customHeight="1">
      <c r="A959" s="135"/>
      <c r="B959" s="135"/>
      <c r="C959" s="135"/>
      <c r="D959" s="135"/>
      <c r="E959" s="135"/>
      <c r="F959" s="135"/>
      <c r="G959" s="135"/>
      <c r="H959" s="135"/>
      <c r="I959" s="135"/>
      <c r="J959" s="135"/>
      <c r="K959" s="135"/>
      <c r="L959" s="135"/>
      <c r="M959" s="135"/>
      <c r="N959" s="135"/>
      <c r="O959" s="135"/>
      <c r="P959" s="135"/>
      <c r="Q959" s="135"/>
      <c r="R959" s="135"/>
      <c r="S959" s="135"/>
      <c r="T959" s="135"/>
      <c r="U959" s="135"/>
      <c r="V959" s="135"/>
      <c r="W959" s="135"/>
      <c r="X959" s="135"/>
      <c r="Y959" s="135"/>
      <c r="Z959" s="135"/>
      <c r="AA959" s="135"/>
      <c r="AB959" s="135"/>
      <c r="AC959" s="135"/>
    </row>
    <row r="960" ht="15.75" customHeight="1">
      <c r="A960" s="135"/>
      <c r="B960" s="135"/>
      <c r="C960" s="135"/>
      <c r="D960" s="135"/>
      <c r="E960" s="135"/>
      <c r="F960" s="135"/>
      <c r="G960" s="135"/>
      <c r="H960" s="135"/>
      <c r="I960" s="135"/>
      <c r="J960" s="135"/>
      <c r="K960" s="135"/>
      <c r="L960" s="135"/>
      <c r="M960" s="135"/>
      <c r="N960" s="135"/>
      <c r="O960" s="135"/>
      <c r="P960" s="135"/>
      <c r="Q960" s="135"/>
      <c r="R960" s="135"/>
      <c r="S960" s="135"/>
      <c r="T960" s="135"/>
      <c r="U960" s="135"/>
      <c r="V960" s="135"/>
      <c r="W960" s="135"/>
      <c r="X960" s="135"/>
      <c r="Y960" s="135"/>
      <c r="Z960" s="135"/>
      <c r="AA960" s="135"/>
      <c r="AB960" s="135"/>
      <c r="AC960" s="135"/>
    </row>
    <row r="961" ht="15.75" customHeight="1">
      <c r="A961" s="135"/>
      <c r="B961" s="135"/>
      <c r="C961" s="135"/>
      <c r="D961" s="135"/>
      <c r="E961" s="135"/>
      <c r="F961" s="135"/>
      <c r="G961" s="135"/>
      <c r="H961" s="135"/>
      <c r="I961" s="135"/>
      <c r="J961" s="135"/>
      <c r="K961" s="135"/>
      <c r="L961" s="135"/>
      <c r="M961" s="135"/>
      <c r="N961" s="135"/>
      <c r="O961" s="135"/>
      <c r="P961" s="135"/>
      <c r="Q961" s="135"/>
      <c r="R961" s="135"/>
      <c r="S961" s="135"/>
      <c r="T961" s="135"/>
      <c r="U961" s="135"/>
      <c r="V961" s="135"/>
      <c r="W961" s="135"/>
      <c r="X961" s="135"/>
      <c r="Y961" s="135"/>
      <c r="Z961" s="135"/>
      <c r="AA961" s="135"/>
      <c r="AB961" s="135"/>
      <c r="AC961" s="135"/>
    </row>
    <row r="962" ht="15.75" customHeight="1">
      <c r="A962" s="135"/>
      <c r="B962" s="135"/>
      <c r="C962" s="135"/>
      <c r="D962" s="135"/>
      <c r="E962" s="135"/>
      <c r="F962" s="135"/>
      <c r="G962" s="135"/>
      <c r="H962" s="135"/>
      <c r="I962" s="135"/>
      <c r="J962" s="135"/>
      <c r="K962" s="135"/>
      <c r="L962" s="135"/>
      <c r="M962" s="135"/>
      <c r="N962" s="135"/>
      <c r="O962" s="135"/>
      <c r="P962" s="135"/>
      <c r="Q962" s="135"/>
      <c r="R962" s="135"/>
      <c r="S962" s="135"/>
      <c r="T962" s="135"/>
      <c r="U962" s="135"/>
      <c r="V962" s="135"/>
      <c r="W962" s="135"/>
      <c r="X962" s="135"/>
      <c r="Y962" s="135"/>
      <c r="Z962" s="135"/>
      <c r="AA962" s="135"/>
      <c r="AB962" s="135"/>
      <c r="AC962" s="135"/>
    </row>
    <row r="963" ht="15.75" customHeight="1">
      <c r="A963" s="135"/>
      <c r="B963" s="135"/>
      <c r="C963" s="135"/>
      <c r="D963" s="135"/>
      <c r="E963" s="135"/>
      <c r="F963" s="135"/>
      <c r="G963" s="135"/>
      <c r="H963" s="135"/>
      <c r="I963" s="135"/>
      <c r="J963" s="135"/>
      <c r="K963" s="135"/>
      <c r="L963" s="135"/>
      <c r="M963" s="135"/>
      <c r="N963" s="135"/>
      <c r="O963" s="135"/>
      <c r="P963" s="135"/>
      <c r="Q963" s="135"/>
      <c r="R963" s="135"/>
      <c r="S963" s="135"/>
      <c r="T963" s="135"/>
      <c r="U963" s="135"/>
      <c r="V963" s="135"/>
      <c r="W963" s="135"/>
      <c r="X963" s="135"/>
      <c r="Y963" s="135"/>
      <c r="Z963" s="135"/>
      <c r="AA963" s="135"/>
      <c r="AB963" s="135"/>
      <c r="AC963" s="135"/>
    </row>
    <row r="964" ht="15.75" customHeight="1">
      <c r="A964" s="135"/>
      <c r="B964" s="135"/>
      <c r="C964" s="135"/>
      <c r="D964" s="135"/>
      <c r="E964" s="135"/>
      <c r="F964" s="135"/>
      <c r="G964" s="135"/>
      <c r="H964" s="135"/>
      <c r="I964" s="135"/>
      <c r="J964" s="135"/>
      <c r="K964" s="135"/>
      <c r="L964" s="135"/>
      <c r="M964" s="135"/>
      <c r="N964" s="135"/>
      <c r="O964" s="135"/>
      <c r="P964" s="135"/>
      <c r="Q964" s="135"/>
      <c r="R964" s="135"/>
      <c r="S964" s="135"/>
      <c r="T964" s="135"/>
      <c r="U964" s="135"/>
      <c r="V964" s="135"/>
      <c r="W964" s="135"/>
      <c r="X964" s="135"/>
      <c r="Y964" s="135"/>
      <c r="Z964" s="135"/>
      <c r="AA964" s="135"/>
      <c r="AB964" s="135"/>
      <c r="AC964" s="135"/>
    </row>
    <row r="965" ht="15.75" customHeight="1">
      <c r="A965" s="135"/>
      <c r="B965" s="135"/>
      <c r="C965" s="135"/>
      <c r="D965" s="135"/>
      <c r="E965" s="135"/>
      <c r="F965" s="135"/>
      <c r="G965" s="135"/>
      <c r="H965" s="135"/>
      <c r="I965" s="135"/>
      <c r="J965" s="135"/>
      <c r="K965" s="135"/>
      <c r="L965" s="135"/>
      <c r="M965" s="135"/>
      <c r="N965" s="135"/>
      <c r="O965" s="135"/>
      <c r="P965" s="135"/>
      <c r="Q965" s="135"/>
      <c r="R965" s="135"/>
      <c r="S965" s="135"/>
      <c r="T965" s="135"/>
      <c r="U965" s="135"/>
      <c r="V965" s="135"/>
      <c r="W965" s="135"/>
      <c r="X965" s="135"/>
      <c r="Y965" s="135"/>
      <c r="Z965" s="135"/>
      <c r="AA965" s="135"/>
      <c r="AB965" s="135"/>
      <c r="AC965" s="135"/>
    </row>
    <row r="966" ht="15.75" customHeight="1">
      <c r="A966" s="135"/>
      <c r="B966" s="135"/>
      <c r="C966" s="135"/>
      <c r="D966" s="135"/>
      <c r="E966" s="135"/>
      <c r="F966" s="135"/>
      <c r="G966" s="135"/>
      <c r="H966" s="135"/>
      <c r="I966" s="135"/>
      <c r="J966" s="135"/>
      <c r="K966" s="135"/>
      <c r="L966" s="135"/>
      <c r="M966" s="135"/>
      <c r="N966" s="135"/>
      <c r="O966" s="135"/>
      <c r="P966" s="135"/>
      <c r="Q966" s="135"/>
      <c r="R966" s="135"/>
      <c r="S966" s="135"/>
      <c r="T966" s="135"/>
      <c r="U966" s="135"/>
      <c r="V966" s="135"/>
      <c r="W966" s="135"/>
      <c r="X966" s="135"/>
      <c r="Y966" s="135"/>
      <c r="Z966" s="135"/>
      <c r="AA966" s="135"/>
      <c r="AB966" s="135"/>
      <c r="AC966" s="135"/>
    </row>
    <row r="967" ht="15.75" customHeight="1">
      <c r="A967" s="135"/>
      <c r="B967" s="135"/>
      <c r="C967" s="135"/>
      <c r="D967" s="135"/>
      <c r="E967" s="135"/>
      <c r="F967" s="135"/>
      <c r="G967" s="135"/>
      <c r="H967" s="135"/>
      <c r="I967" s="135"/>
      <c r="J967" s="135"/>
      <c r="K967" s="135"/>
      <c r="L967" s="135"/>
      <c r="M967" s="135"/>
      <c r="N967" s="135"/>
      <c r="O967" s="135"/>
      <c r="P967" s="135"/>
      <c r="Q967" s="135"/>
      <c r="R967" s="135"/>
      <c r="S967" s="135"/>
      <c r="T967" s="135"/>
      <c r="U967" s="135"/>
      <c r="V967" s="135"/>
      <c r="W967" s="135"/>
      <c r="X967" s="135"/>
      <c r="Y967" s="135"/>
      <c r="Z967" s="135"/>
      <c r="AA967" s="135"/>
      <c r="AB967" s="135"/>
      <c r="AC967" s="135"/>
    </row>
    <row r="968" ht="15.75" customHeight="1">
      <c r="A968" s="135"/>
      <c r="B968" s="135"/>
      <c r="C968" s="135"/>
      <c r="D968" s="135"/>
      <c r="E968" s="135"/>
      <c r="F968" s="135"/>
      <c r="G968" s="135"/>
      <c r="H968" s="135"/>
      <c r="I968" s="135"/>
      <c r="J968" s="135"/>
      <c r="K968" s="135"/>
      <c r="L968" s="135"/>
      <c r="M968" s="135"/>
      <c r="N968" s="135"/>
      <c r="O968" s="135"/>
      <c r="P968" s="135"/>
      <c r="Q968" s="135"/>
      <c r="R968" s="135"/>
      <c r="S968" s="135"/>
      <c r="T968" s="135"/>
      <c r="U968" s="135"/>
      <c r="V968" s="135"/>
      <c r="W968" s="135"/>
      <c r="X968" s="135"/>
      <c r="Y968" s="135"/>
      <c r="Z968" s="135"/>
      <c r="AA968" s="135"/>
      <c r="AB968" s="135"/>
      <c r="AC968" s="135"/>
    </row>
    <row r="969" ht="15.75" customHeight="1">
      <c r="A969" s="135"/>
      <c r="B969" s="135"/>
      <c r="C969" s="135"/>
      <c r="D969" s="135"/>
      <c r="E969" s="135"/>
      <c r="F969" s="135"/>
      <c r="G969" s="135"/>
      <c r="H969" s="135"/>
      <c r="I969" s="135"/>
      <c r="J969" s="135"/>
      <c r="K969" s="135"/>
      <c r="L969" s="135"/>
      <c r="M969" s="135"/>
      <c r="N969" s="135"/>
      <c r="O969" s="135"/>
      <c r="P969" s="135"/>
      <c r="Q969" s="135"/>
      <c r="R969" s="135"/>
      <c r="S969" s="135"/>
      <c r="T969" s="135"/>
      <c r="U969" s="135"/>
      <c r="V969" s="135"/>
      <c r="W969" s="135"/>
      <c r="X969" s="135"/>
      <c r="Y969" s="135"/>
      <c r="Z969" s="135"/>
      <c r="AA969" s="135"/>
      <c r="AB969" s="135"/>
      <c r="AC969" s="135"/>
    </row>
    <row r="970" ht="15.75" customHeight="1">
      <c r="A970" s="135"/>
      <c r="B970" s="135"/>
      <c r="C970" s="135"/>
      <c r="D970" s="135"/>
      <c r="E970" s="135"/>
      <c r="F970" s="135"/>
      <c r="G970" s="135"/>
      <c r="H970" s="135"/>
      <c r="I970" s="135"/>
      <c r="J970" s="135"/>
      <c r="K970" s="135"/>
      <c r="L970" s="135"/>
      <c r="M970" s="135"/>
      <c r="N970" s="135"/>
      <c r="O970" s="135"/>
      <c r="P970" s="135"/>
      <c r="Q970" s="135"/>
      <c r="R970" s="135"/>
      <c r="S970" s="135"/>
      <c r="T970" s="135"/>
      <c r="U970" s="135"/>
      <c r="V970" s="135"/>
      <c r="W970" s="135"/>
      <c r="X970" s="135"/>
      <c r="Y970" s="135"/>
      <c r="Z970" s="135"/>
      <c r="AA970" s="135"/>
      <c r="AB970" s="135"/>
      <c r="AC970" s="135"/>
    </row>
    <row r="971" ht="15.75" customHeight="1">
      <c r="A971" s="135"/>
      <c r="B971" s="135"/>
      <c r="C971" s="135"/>
      <c r="D971" s="135"/>
      <c r="E971" s="135"/>
      <c r="F971" s="135"/>
      <c r="G971" s="135"/>
      <c r="H971" s="135"/>
      <c r="I971" s="135"/>
      <c r="J971" s="135"/>
      <c r="K971" s="135"/>
      <c r="L971" s="135"/>
      <c r="M971" s="135"/>
      <c r="N971" s="135"/>
      <c r="O971" s="135"/>
      <c r="P971" s="135"/>
      <c r="Q971" s="135"/>
      <c r="R971" s="135"/>
      <c r="S971" s="135"/>
      <c r="T971" s="135"/>
      <c r="U971" s="135"/>
      <c r="V971" s="135"/>
      <c r="W971" s="135"/>
      <c r="X971" s="135"/>
      <c r="Y971" s="135"/>
      <c r="Z971" s="135"/>
      <c r="AA971" s="135"/>
      <c r="AB971" s="135"/>
      <c r="AC971" s="135"/>
    </row>
    <row r="972" ht="15.75" customHeight="1">
      <c r="A972" s="135"/>
      <c r="B972" s="135"/>
      <c r="C972" s="135"/>
      <c r="D972" s="135"/>
      <c r="E972" s="135"/>
      <c r="F972" s="135"/>
      <c r="G972" s="135"/>
      <c r="H972" s="135"/>
      <c r="I972" s="135"/>
      <c r="J972" s="135"/>
      <c r="K972" s="135"/>
      <c r="L972" s="135"/>
      <c r="M972" s="135"/>
      <c r="N972" s="135"/>
      <c r="O972" s="135"/>
      <c r="P972" s="135"/>
      <c r="Q972" s="135"/>
      <c r="R972" s="135"/>
      <c r="S972" s="135"/>
      <c r="T972" s="135"/>
      <c r="U972" s="135"/>
      <c r="V972" s="135"/>
      <c r="W972" s="135"/>
      <c r="X972" s="135"/>
      <c r="Y972" s="135"/>
      <c r="Z972" s="135"/>
      <c r="AA972" s="135"/>
      <c r="AB972" s="135"/>
      <c r="AC972" s="135"/>
    </row>
    <row r="973" ht="15.75" customHeight="1">
      <c r="A973" s="135"/>
      <c r="B973" s="135"/>
      <c r="C973" s="135"/>
      <c r="D973" s="135"/>
      <c r="E973" s="135"/>
      <c r="F973" s="135"/>
      <c r="G973" s="135"/>
      <c r="H973" s="135"/>
      <c r="I973" s="135"/>
      <c r="J973" s="135"/>
      <c r="K973" s="135"/>
      <c r="L973" s="135"/>
      <c r="M973" s="135"/>
      <c r="N973" s="135"/>
      <c r="O973" s="135"/>
      <c r="P973" s="135"/>
      <c r="Q973" s="135"/>
      <c r="R973" s="135"/>
      <c r="S973" s="135"/>
      <c r="T973" s="135"/>
      <c r="U973" s="135"/>
      <c r="V973" s="135"/>
      <c r="W973" s="135"/>
      <c r="X973" s="135"/>
      <c r="Y973" s="135"/>
      <c r="Z973" s="135"/>
      <c r="AA973" s="135"/>
      <c r="AB973" s="135"/>
      <c r="AC973" s="135"/>
    </row>
    <row r="974" ht="15.75" customHeight="1">
      <c r="A974" s="135"/>
      <c r="B974" s="135"/>
      <c r="C974" s="135"/>
      <c r="D974" s="135"/>
      <c r="E974" s="135"/>
      <c r="F974" s="135"/>
      <c r="G974" s="135"/>
      <c r="H974" s="135"/>
      <c r="I974" s="135"/>
      <c r="J974" s="135"/>
      <c r="K974" s="135"/>
      <c r="L974" s="135"/>
      <c r="M974" s="135"/>
      <c r="N974" s="135"/>
      <c r="O974" s="135"/>
      <c r="P974" s="135"/>
      <c r="Q974" s="135"/>
      <c r="R974" s="135"/>
      <c r="S974" s="135"/>
      <c r="T974" s="135"/>
      <c r="U974" s="135"/>
      <c r="V974" s="135"/>
      <c r="W974" s="135"/>
      <c r="X974" s="135"/>
      <c r="Y974" s="135"/>
      <c r="Z974" s="135"/>
      <c r="AA974" s="135"/>
      <c r="AB974" s="135"/>
      <c r="AC974" s="135"/>
    </row>
    <row r="975" ht="15.75" customHeight="1">
      <c r="A975" s="135"/>
      <c r="B975" s="135"/>
      <c r="C975" s="135"/>
      <c r="D975" s="135"/>
      <c r="E975" s="135"/>
      <c r="F975" s="135"/>
      <c r="G975" s="135"/>
      <c r="H975" s="135"/>
      <c r="I975" s="135"/>
      <c r="J975" s="135"/>
      <c r="K975" s="135"/>
      <c r="L975" s="135"/>
      <c r="M975" s="135"/>
      <c r="N975" s="135"/>
      <c r="O975" s="135"/>
      <c r="P975" s="135"/>
      <c r="Q975" s="135"/>
      <c r="R975" s="135"/>
      <c r="S975" s="135"/>
      <c r="T975" s="135"/>
      <c r="U975" s="135"/>
      <c r="V975" s="135"/>
      <c r="W975" s="135"/>
      <c r="X975" s="135"/>
      <c r="Y975" s="135"/>
      <c r="Z975" s="135"/>
      <c r="AA975" s="135"/>
      <c r="AB975" s="135"/>
      <c r="AC975" s="135"/>
    </row>
    <row r="976" ht="15.75" customHeight="1">
      <c r="A976" s="135"/>
      <c r="B976" s="135"/>
      <c r="C976" s="135"/>
      <c r="D976" s="135"/>
      <c r="E976" s="135"/>
      <c r="F976" s="135"/>
      <c r="G976" s="135"/>
      <c r="H976" s="135"/>
      <c r="I976" s="135"/>
      <c r="J976" s="135"/>
      <c r="K976" s="135"/>
      <c r="L976" s="135"/>
      <c r="M976" s="135"/>
      <c r="N976" s="135"/>
      <c r="O976" s="135"/>
      <c r="P976" s="135"/>
      <c r="Q976" s="135"/>
      <c r="R976" s="135"/>
      <c r="S976" s="135"/>
      <c r="T976" s="135"/>
      <c r="U976" s="135"/>
      <c r="V976" s="135"/>
      <c r="W976" s="135"/>
      <c r="X976" s="135"/>
      <c r="Y976" s="135"/>
      <c r="Z976" s="135"/>
      <c r="AA976" s="135"/>
      <c r="AB976" s="135"/>
      <c r="AC976" s="135"/>
    </row>
    <row r="977" ht="15.75" customHeight="1">
      <c r="A977" s="135"/>
      <c r="B977" s="135"/>
      <c r="C977" s="135"/>
      <c r="D977" s="135"/>
      <c r="E977" s="135"/>
      <c r="F977" s="135"/>
      <c r="G977" s="135"/>
      <c r="H977" s="135"/>
      <c r="I977" s="135"/>
      <c r="J977" s="135"/>
      <c r="K977" s="135"/>
      <c r="L977" s="135"/>
      <c r="M977" s="135"/>
      <c r="N977" s="135"/>
      <c r="O977" s="135"/>
      <c r="P977" s="135"/>
      <c r="Q977" s="135"/>
      <c r="R977" s="135"/>
      <c r="S977" s="135"/>
      <c r="T977" s="135"/>
      <c r="U977" s="135"/>
      <c r="V977" s="135"/>
      <c r="W977" s="135"/>
      <c r="X977" s="135"/>
      <c r="Y977" s="135"/>
      <c r="Z977" s="135"/>
      <c r="AA977" s="135"/>
      <c r="AB977" s="135"/>
      <c r="AC977" s="135"/>
    </row>
    <row r="978" ht="15.75" customHeight="1">
      <c r="A978" s="135"/>
      <c r="B978" s="135"/>
      <c r="C978" s="135"/>
      <c r="D978" s="135"/>
      <c r="E978" s="135"/>
      <c r="F978" s="135"/>
      <c r="G978" s="135"/>
      <c r="H978" s="135"/>
      <c r="I978" s="135"/>
      <c r="J978" s="135"/>
      <c r="K978" s="135"/>
      <c r="L978" s="135"/>
      <c r="M978" s="135"/>
      <c r="N978" s="135"/>
      <c r="O978" s="135"/>
      <c r="P978" s="135"/>
      <c r="Q978" s="135"/>
      <c r="R978" s="135"/>
      <c r="S978" s="135"/>
      <c r="T978" s="135"/>
      <c r="U978" s="135"/>
      <c r="V978" s="135"/>
      <c r="W978" s="135"/>
      <c r="X978" s="135"/>
      <c r="Y978" s="135"/>
      <c r="Z978" s="135"/>
      <c r="AA978" s="135"/>
      <c r="AB978" s="135"/>
      <c r="AC978" s="135"/>
    </row>
    <row r="979" ht="15.75" customHeight="1">
      <c r="A979" s="135"/>
      <c r="B979" s="135"/>
      <c r="C979" s="135"/>
      <c r="D979" s="135"/>
      <c r="E979" s="135"/>
      <c r="F979" s="135"/>
      <c r="G979" s="135"/>
      <c r="H979" s="135"/>
      <c r="I979" s="135"/>
      <c r="J979" s="135"/>
      <c r="K979" s="135"/>
      <c r="L979" s="135"/>
      <c r="M979" s="135"/>
      <c r="N979" s="135"/>
      <c r="O979" s="135"/>
      <c r="P979" s="135"/>
      <c r="Q979" s="135"/>
      <c r="R979" s="135"/>
      <c r="S979" s="135"/>
      <c r="T979" s="135"/>
      <c r="U979" s="135"/>
      <c r="V979" s="135"/>
      <c r="W979" s="135"/>
      <c r="X979" s="135"/>
      <c r="Y979" s="135"/>
      <c r="Z979" s="135"/>
      <c r="AA979" s="135"/>
      <c r="AB979" s="135"/>
      <c r="AC979" s="135"/>
    </row>
    <row r="980" ht="15.75" customHeight="1">
      <c r="A980" s="135"/>
      <c r="B980" s="135"/>
      <c r="C980" s="135"/>
      <c r="D980" s="135"/>
      <c r="E980" s="135"/>
      <c r="F980" s="135"/>
      <c r="G980" s="135"/>
      <c r="H980" s="135"/>
      <c r="I980" s="135"/>
      <c r="J980" s="135"/>
      <c r="K980" s="135"/>
      <c r="L980" s="135"/>
      <c r="M980" s="135"/>
      <c r="N980" s="135"/>
      <c r="O980" s="135"/>
      <c r="P980" s="135"/>
      <c r="Q980" s="135"/>
      <c r="R980" s="135"/>
      <c r="S980" s="135"/>
      <c r="T980" s="135"/>
      <c r="U980" s="135"/>
      <c r="V980" s="135"/>
      <c r="W980" s="135"/>
      <c r="X980" s="135"/>
      <c r="Y980" s="135"/>
      <c r="Z980" s="135"/>
      <c r="AA980" s="135"/>
      <c r="AB980" s="135"/>
      <c r="AC980" s="135"/>
    </row>
    <row r="981" ht="15.75" customHeight="1">
      <c r="A981" s="135"/>
      <c r="B981" s="135"/>
      <c r="C981" s="135"/>
      <c r="D981" s="135"/>
      <c r="E981" s="135"/>
      <c r="F981" s="135"/>
      <c r="G981" s="135"/>
      <c r="H981" s="135"/>
      <c r="I981" s="135"/>
      <c r="J981" s="135"/>
      <c r="K981" s="135"/>
      <c r="L981" s="135"/>
      <c r="M981" s="135"/>
      <c r="N981" s="135"/>
      <c r="O981" s="135"/>
      <c r="P981" s="135"/>
      <c r="Q981" s="135"/>
      <c r="R981" s="135"/>
      <c r="S981" s="135"/>
      <c r="T981" s="135"/>
      <c r="U981" s="135"/>
      <c r="V981" s="135"/>
      <c r="W981" s="135"/>
      <c r="X981" s="135"/>
      <c r="Y981" s="135"/>
      <c r="Z981" s="135"/>
      <c r="AA981" s="135"/>
      <c r="AB981" s="135"/>
      <c r="AC981" s="135"/>
    </row>
    <row r="982" ht="15.75" customHeight="1">
      <c r="A982" s="135"/>
      <c r="B982" s="135"/>
      <c r="C982" s="135"/>
      <c r="D982" s="135"/>
      <c r="E982" s="135"/>
      <c r="F982" s="135"/>
      <c r="G982" s="135"/>
      <c r="H982" s="135"/>
      <c r="I982" s="135"/>
      <c r="J982" s="135"/>
      <c r="K982" s="135"/>
      <c r="L982" s="135"/>
      <c r="M982" s="135"/>
      <c r="N982" s="135"/>
      <c r="O982" s="135"/>
      <c r="P982" s="135"/>
      <c r="Q982" s="135"/>
      <c r="R982" s="135"/>
      <c r="S982" s="135"/>
      <c r="T982" s="135"/>
      <c r="U982" s="135"/>
      <c r="V982" s="135"/>
      <c r="W982" s="135"/>
      <c r="X982" s="135"/>
      <c r="Y982" s="135"/>
      <c r="Z982" s="135"/>
      <c r="AA982" s="135"/>
      <c r="AB982" s="135"/>
      <c r="AC982" s="135"/>
    </row>
    <row r="983" ht="15.75" customHeight="1">
      <c r="A983" s="135"/>
      <c r="B983" s="135"/>
      <c r="C983" s="135"/>
      <c r="D983" s="135"/>
      <c r="E983" s="135"/>
      <c r="F983" s="135"/>
      <c r="G983" s="135"/>
      <c r="H983" s="135"/>
      <c r="I983" s="135"/>
      <c r="J983" s="135"/>
      <c r="K983" s="135"/>
      <c r="L983" s="135"/>
      <c r="M983" s="135"/>
      <c r="N983" s="135"/>
      <c r="O983" s="135"/>
      <c r="P983" s="135"/>
      <c r="Q983" s="135"/>
      <c r="R983" s="135"/>
      <c r="S983" s="135"/>
      <c r="T983" s="135"/>
      <c r="U983" s="135"/>
      <c r="V983" s="135"/>
      <c r="W983" s="135"/>
      <c r="X983" s="135"/>
      <c r="Y983" s="135"/>
      <c r="Z983" s="135"/>
      <c r="AA983" s="135"/>
      <c r="AB983" s="135"/>
      <c r="AC983" s="135"/>
    </row>
    <row r="984" ht="15.75" customHeight="1">
      <c r="A984" s="135"/>
      <c r="B984" s="135"/>
      <c r="C984" s="135"/>
      <c r="D984" s="135"/>
      <c r="E984" s="135"/>
      <c r="F984" s="135"/>
      <c r="G984" s="135"/>
      <c r="H984" s="135"/>
      <c r="I984" s="135"/>
      <c r="J984" s="135"/>
      <c r="K984" s="135"/>
      <c r="L984" s="135"/>
      <c r="M984" s="135"/>
      <c r="N984" s="135"/>
      <c r="O984" s="135"/>
      <c r="P984" s="135"/>
      <c r="Q984" s="135"/>
      <c r="R984" s="135"/>
      <c r="S984" s="135"/>
      <c r="T984" s="135"/>
      <c r="U984" s="135"/>
      <c r="V984" s="135"/>
      <c r="W984" s="135"/>
      <c r="X984" s="135"/>
      <c r="Y984" s="135"/>
      <c r="Z984" s="135"/>
      <c r="AA984" s="135"/>
      <c r="AB984" s="135"/>
      <c r="AC984" s="135"/>
    </row>
    <row r="985" ht="15.75" customHeight="1">
      <c r="A985" s="135"/>
      <c r="B985" s="135"/>
      <c r="C985" s="135"/>
      <c r="D985" s="135"/>
      <c r="E985" s="135"/>
      <c r="F985" s="135"/>
      <c r="G985" s="135"/>
      <c r="H985" s="135"/>
      <c r="I985" s="135"/>
      <c r="J985" s="135"/>
      <c r="K985" s="135"/>
      <c r="L985" s="135"/>
      <c r="M985" s="135"/>
      <c r="N985" s="135"/>
      <c r="O985" s="135"/>
      <c r="P985" s="135"/>
      <c r="Q985" s="135"/>
      <c r="R985" s="135"/>
      <c r="S985" s="135"/>
      <c r="T985" s="135"/>
      <c r="U985" s="135"/>
      <c r="V985" s="135"/>
      <c r="W985" s="135"/>
      <c r="X985" s="135"/>
      <c r="Y985" s="135"/>
      <c r="Z985" s="135"/>
      <c r="AA985" s="135"/>
      <c r="AB985" s="135"/>
      <c r="AC985" s="135"/>
    </row>
    <row r="986" ht="15.75" customHeight="1">
      <c r="A986" s="135"/>
      <c r="B986" s="135"/>
      <c r="C986" s="135"/>
      <c r="D986" s="135"/>
      <c r="E986" s="135"/>
      <c r="F986" s="135"/>
      <c r="G986" s="135"/>
      <c r="H986" s="135"/>
      <c r="I986" s="135"/>
      <c r="J986" s="135"/>
      <c r="K986" s="135"/>
      <c r="L986" s="135"/>
      <c r="M986" s="135"/>
      <c r="N986" s="135"/>
      <c r="O986" s="135"/>
      <c r="P986" s="135"/>
      <c r="Q986" s="135"/>
      <c r="R986" s="135"/>
      <c r="S986" s="135"/>
      <c r="T986" s="135"/>
      <c r="U986" s="135"/>
      <c r="V986" s="135"/>
      <c r="W986" s="135"/>
      <c r="X986" s="135"/>
      <c r="Y986" s="135"/>
      <c r="Z986" s="135"/>
      <c r="AA986" s="135"/>
      <c r="AB986" s="135"/>
      <c r="AC986" s="135"/>
    </row>
    <row r="987" ht="15.75" customHeight="1">
      <c r="A987" s="135"/>
      <c r="B987" s="135"/>
      <c r="C987" s="135"/>
      <c r="D987" s="135"/>
      <c r="E987" s="135"/>
      <c r="F987" s="135"/>
      <c r="G987" s="135"/>
      <c r="H987" s="135"/>
      <c r="I987" s="135"/>
      <c r="J987" s="135"/>
      <c r="K987" s="135"/>
      <c r="L987" s="135"/>
      <c r="M987" s="135"/>
      <c r="N987" s="135"/>
      <c r="O987" s="135"/>
      <c r="P987" s="135"/>
      <c r="Q987" s="135"/>
      <c r="R987" s="135"/>
      <c r="S987" s="135"/>
      <c r="T987" s="135"/>
      <c r="U987" s="135"/>
      <c r="V987" s="135"/>
      <c r="W987" s="135"/>
      <c r="X987" s="135"/>
      <c r="Y987" s="135"/>
      <c r="Z987" s="135"/>
      <c r="AA987" s="135"/>
      <c r="AB987" s="135"/>
      <c r="AC987" s="135"/>
    </row>
    <row r="988" ht="15.75" customHeight="1">
      <c r="A988" s="135"/>
      <c r="B988" s="135"/>
      <c r="C988" s="135"/>
      <c r="D988" s="135"/>
      <c r="E988" s="135"/>
      <c r="F988" s="135"/>
      <c r="G988" s="135"/>
      <c r="H988" s="135"/>
      <c r="I988" s="135"/>
      <c r="J988" s="135"/>
      <c r="K988" s="135"/>
      <c r="L988" s="135"/>
      <c r="M988" s="135"/>
      <c r="N988" s="135"/>
      <c r="O988" s="135"/>
      <c r="P988" s="135"/>
      <c r="Q988" s="135"/>
      <c r="R988" s="135"/>
      <c r="S988" s="135"/>
      <c r="T988" s="135"/>
      <c r="U988" s="135"/>
      <c r="V988" s="135"/>
      <c r="W988" s="135"/>
      <c r="X988" s="135"/>
      <c r="Y988" s="135"/>
      <c r="Z988" s="135"/>
      <c r="AA988" s="135"/>
      <c r="AB988" s="135"/>
      <c r="AC988" s="135"/>
    </row>
    <row r="989" ht="15.75" customHeight="1">
      <c r="A989" s="135"/>
      <c r="B989" s="135"/>
      <c r="C989" s="135"/>
      <c r="D989" s="135"/>
      <c r="E989" s="135"/>
      <c r="F989" s="135"/>
      <c r="G989" s="135"/>
      <c r="H989" s="135"/>
      <c r="I989" s="135"/>
      <c r="J989" s="135"/>
      <c r="K989" s="135"/>
      <c r="L989" s="135"/>
      <c r="M989" s="135"/>
      <c r="N989" s="135"/>
      <c r="O989" s="135"/>
      <c r="P989" s="135"/>
      <c r="Q989" s="135"/>
      <c r="R989" s="135"/>
      <c r="S989" s="135"/>
      <c r="T989" s="135"/>
      <c r="U989" s="135"/>
      <c r="V989" s="135"/>
      <c r="W989" s="135"/>
      <c r="X989" s="135"/>
      <c r="Y989" s="135"/>
      <c r="Z989" s="135"/>
      <c r="AA989" s="135"/>
      <c r="AB989" s="135"/>
      <c r="AC989" s="135"/>
    </row>
    <row r="990" ht="15.75" customHeight="1">
      <c r="A990" s="135"/>
      <c r="B990" s="135"/>
      <c r="C990" s="135"/>
      <c r="D990" s="135"/>
      <c r="E990" s="135"/>
      <c r="F990" s="135"/>
      <c r="G990" s="135"/>
      <c r="H990" s="135"/>
      <c r="I990" s="135"/>
      <c r="J990" s="135"/>
      <c r="K990" s="135"/>
      <c r="L990" s="135"/>
      <c r="M990" s="135"/>
      <c r="N990" s="135"/>
      <c r="O990" s="135"/>
      <c r="P990" s="135"/>
      <c r="Q990" s="135"/>
      <c r="R990" s="135"/>
      <c r="S990" s="135"/>
      <c r="T990" s="135"/>
      <c r="U990" s="135"/>
      <c r="V990" s="135"/>
      <c r="W990" s="135"/>
      <c r="X990" s="135"/>
      <c r="Y990" s="135"/>
      <c r="Z990" s="135"/>
      <c r="AA990" s="135"/>
      <c r="AB990" s="135"/>
      <c r="AC990" s="135"/>
    </row>
    <row r="991" ht="15.75" customHeight="1">
      <c r="A991" s="135"/>
      <c r="B991" s="135"/>
      <c r="C991" s="135"/>
      <c r="D991" s="135"/>
      <c r="E991" s="135"/>
      <c r="F991" s="135"/>
      <c r="G991" s="135"/>
      <c r="H991" s="135"/>
      <c r="I991" s="135"/>
      <c r="J991" s="135"/>
      <c r="K991" s="135"/>
      <c r="L991" s="135"/>
      <c r="M991" s="135"/>
      <c r="N991" s="135"/>
      <c r="O991" s="135"/>
      <c r="P991" s="135"/>
      <c r="Q991" s="135"/>
      <c r="R991" s="135"/>
      <c r="S991" s="135"/>
      <c r="T991" s="135"/>
      <c r="U991" s="135"/>
      <c r="V991" s="135"/>
      <c r="W991" s="135"/>
      <c r="X991" s="135"/>
      <c r="Y991" s="135"/>
      <c r="Z991" s="135"/>
      <c r="AA991" s="135"/>
      <c r="AB991" s="135"/>
      <c r="AC991" s="135"/>
    </row>
    <row r="992" ht="15.75" customHeight="1">
      <c r="A992" s="135"/>
      <c r="B992" s="135"/>
      <c r="C992" s="135"/>
      <c r="D992" s="135"/>
      <c r="E992" s="135"/>
      <c r="F992" s="135"/>
      <c r="G992" s="135"/>
      <c r="H992" s="135"/>
      <c r="I992" s="135"/>
      <c r="J992" s="135"/>
      <c r="K992" s="135"/>
      <c r="L992" s="135"/>
      <c r="M992" s="135"/>
      <c r="N992" s="135"/>
      <c r="O992" s="135"/>
      <c r="P992" s="135"/>
      <c r="Q992" s="135"/>
      <c r="R992" s="135"/>
      <c r="S992" s="135"/>
      <c r="T992" s="135"/>
      <c r="U992" s="135"/>
      <c r="V992" s="135"/>
      <c r="W992" s="135"/>
      <c r="X992" s="135"/>
      <c r="Y992" s="135"/>
      <c r="Z992" s="135"/>
      <c r="AA992" s="135"/>
      <c r="AB992" s="135"/>
      <c r="AC992" s="135"/>
    </row>
    <row r="993" ht="15.75" customHeight="1">
      <c r="A993" s="135"/>
      <c r="B993" s="135"/>
      <c r="C993" s="135"/>
      <c r="D993" s="135"/>
      <c r="E993" s="135"/>
      <c r="F993" s="135"/>
      <c r="G993" s="135"/>
      <c r="H993" s="135"/>
      <c r="I993" s="135"/>
      <c r="J993" s="135"/>
      <c r="K993" s="135"/>
      <c r="L993" s="135"/>
      <c r="M993" s="135"/>
      <c r="N993" s="135"/>
      <c r="O993" s="135"/>
      <c r="P993" s="135"/>
      <c r="Q993" s="135"/>
      <c r="R993" s="135"/>
      <c r="S993" s="135"/>
      <c r="T993" s="135"/>
      <c r="U993" s="135"/>
      <c r="V993" s="135"/>
      <c r="W993" s="135"/>
      <c r="X993" s="135"/>
      <c r="Y993" s="135"/>
      <c r="Z993" s="135"/>
      <c r="AA993" s="135"/>
      <c r="AB993" s="135"/>
      <c r="AC993" s="135"/>
    </row>
    <row r="994" ht="15.75" customHeight="1">
      <c r="A994" s="135"/>
      <c r="B994" s="135"/>
      <c r="C994" s="135"/>
      <c r="D994" s="135"/>
      <c r="E994" s="135"/>
      <c r="F994" s="135"/>
      <c r="G994" s="135"/>
      <c r="H994" s="135"/>
      <c r="I994" s="135"/>
      <c r="J994" s="135"/>
      <c r="K994" s="135"/>
      <c r="L994" s="135"/>
      <c r="M994" s="135"/>
      <c r="N994" s="135"/>
      <c r="O994" s="135"/>
      <c r="P994" s="135"/>
      <c r="Q994" s="135"/>
      <c r="R994" s="135"/>
      <c r="S994" s="135"/>
      <c r="T994" s="135"/>
      <c r="U994" s="135"/>
      <c r="V994" s="135"/>
      <c r="W994" s="135"/>
      <c r="X994" s="135"/>
      <c r="Y994" s="135"/>
      <c r="Z994" s="135"/>
      <c r="AA994" s="135"/>
      <c r="AB994" s="135"/>
      <c r="AC994" s="135"/>
    </row>
    <row r="995" ht="15.75" customHeight="1">
      <c r="A995" s="135"/>
      <c r="B995" s="135"/>
      <c r="C995" s="135"/>
      <c r="D995" s="135"/>
      <c r="E995" s="135"/>
      <c r="F995" s="135"/>
      <c r="G995" s="135"/>
      <c r="H995" s="135"/>
      <c r="I995" s="135"/>
      <c r="J995" s="135"/>
      <c r="K995" s="135"/>
      <c r="L995" s="135"/>
      <c r="M995" s="135"/>
      <c r="N995" s="135"/>
      <c r="O995" s="135"/>
      <c r="P995" s="135"/>
      <c r="Q995" s="135"/>
      <c r="R995" s="135"/>
      <c r="S995" s="135"/>
      <c r="T995" s="135"/>
      <c r="U995" s="135"/>
      <c r="V995" s="135"/>
      <c r="W995" s="135"/>
      <c r="X995" s="135"/>
      <c r="Y995" s="135"/>
      <c r="Z995" s="135"/>
      <c r="AA995" s="135"/>
      <c r="AB995" s="135"/>
      <c r="AC995" s="135"/>
    </row>
    <row r="996" ht="15.75" customHeight="1">
      <c r="A996" s="135"/>
      <c r="B996" s="135"/>
      <c r="C996" s="135"/>
      <c r="D996" s="135"/>
      <c r="E996" s="135"/>
      <c r="F996" s="135"/>
      <c r="G996" s="135"/>
      <c r="H996" s="135"/>
      <c r="I996" s="135"/>
      <c r="J996" s="135"/>
      <c r="K996" s="135"/>
      <c r="L996" s="135"/>
      <c r="M996" s="135"/>
      <c r="N996" s="135"/>
      <c r="O996" s="135"/>
      <c r="P996" s="135"/>
      <c r="Q996" s="135"/>
      <c r="R996" s="135"/>
      <c r="S996" s="135"/>
      <c r="T996" s="135"/>
      <c r="U996" s="135"/>
      <c r="V996" s="135"/>
      <c r="W996" s="135"/>
      <c r="X996" s="135"/>
      <c r="Y996" s="135"/>
      <c r="Z996" s="135"/>
      <c r="AA996" s="135"/>
      <c r="AB996" s="135"/>
      <c r="AC996" s="135"/>
    </row>
    <row r="997" ht="15.75" customHeight="1">
      <c r="A997" s="135"/>
      <c r="B997" s="135"/>
      <c r="C997" s="135"/>
      <c r="D997" s="135"/>
      <c r="E997" s="135"/>
      <c r="F997" s="135"/>
      <c r="G997" s="135"/>
      <c r="H997" s="135"/>
      <c r="I997" s="135"/>
      <c r="J997" s="135"/>
      <c r="K997" s="135"/>
      <c r="L997" s="135"/>
      <c r="M997" s="135"/>
      <c r="N997" s="135"/>
      <c r="O997" s="135"/>
      <c r="P997" s="135"/>
      <c r="Q997" s="135"/>
      <c r="R997" s="135"/>
      <c r="S997" s="135"/>
      <c r="T997" s="135"/>
      <c r="U997" s="135"/>
      <c r="V997" s="135"/>
      <c r="W997" s="135"/>
      <c r="X997" s="135"/>
      <c r="Y997" s="135"/>
      <c r="Z997" s="135"/>
      <c r="AA997" s="135"/>
      <c r="AB997" s="135"/>
      <c r="AC997" s="135"/>
    </row>
    <row r="998" ht="15.75" customHeight="1">
      <c r="A998" s="135"/>
      <c r="B998" s="135"/>
      <c r="C998" s="135"/>
      <c r="D998" s="135"/>
      <c r="E998" s="135"/>
      <c r="F998" s="135"/>
      <c r="G998" s="135"/>
      <c r="H998" s="135"/>
      <c r="I998" s="135"/>
      <c r="J998" s="135"/>
      <c r="K998" s="135"/>
      <c r="L998" s="135"/>
      <c r="M998" s="135"/>
      <c r="N998" s="135"/>
      <c r="O998" s="135"/>
      <c r="P998" s="135"/>
      <c r="Q998" s="135"/>
      <c r="R998" s="135"/>
      <c r="S998" s="135"/>
      <c r="T998" s="135"/>
      <c r="U998" s="135"/>
      <c r="V998" s="135"/>
      <c r="W998" s="135"/>
      <c r="X998" s="135"/>
      <c r="Y998" s="135"/>
      <c r="Z998" s="135"/>
      <c r="AA998" s="135"/>
      <c r="AB998" s="135"/>
      <c r="AC998" s="135"/>
    </row>
    <row r="999" ht="15.75" customHeight="1">
      <c r="A999" s="135"/>
      <c r="B999" s="135"/>
      <c r="C999" s="135"/>
      <c r="D999" s="135"/>
      <c r="E999" s="135"/>
      <c r="F999" s="135"/>
      <c r="G999" s="135"/>
      <c r="H999" s="135"/>
      <c r="I999" s="135"/>
      <c r="J999" s="135"/>
      <c r="K999" s="135"/>
      <c r="L999" s="135"/>
      <c r="M999" s="135"/>
      <c r="N999" s="135"/>
      <c r="O999" s="135"/>
      <c r="P999" s="135"/>
      <c r="Q999" s="135"/>
      <c r="R999" s="135"/>
      <c r="S999" s="135"/>
      <c r="T999" s="135"/>
      <c r="U999" s="135"/>
      <c r="V999" s="135"/>
      <c r="W999" s="135"/>
      <c r="X999" s="135"/>
      <c r="Y999" s="135"/>
      <c r="Z999" s="135"/>
      <c r="AA999" s="135"/>
      <c r="AB999" s="135"/>
      <c r="AC999" s="135"/>
    </row>
    <row r="1000" ht="15.75" customHeight="1">
      <c r="A1000" s="135"/>
      <c r="B1000" s="135"/>
      <c r="C1000" s="135"/>
      <c r="D1000" s="135"/>
      <c r="E1000" s="135"/>
      <c r="F1000" s="135"/>
      <c r="G1000" s="135"/>
      <c r="H1000" s="135"/>
      <c r="I1000" s="135"/>
      <c r="J1000" s="135"/>
      <c r="K1000" s="135"/>
      <c r="L1000" s="135"/>
      <c r="M1000" s="135"/>
      <c r="N1000" s="135"/>
      <c r="O1000" s="135"/>
      <c r="P1000" s="135"/>
      <c r="Q1000" s="135"/>
      <c r="R1000" s="135"/>
      <c r="S1000" s="135"/>
      <c r="T1000" s="135"/>
      <c r="U1000" s="135"/>
      <c r="V1000" s="135"/>
      <c r="W1000" s="135"/>
      <c r="X1000" s="135"/>
      <c r="Y1000" s="135"/>
      <c r="Z1000" s="135"/>
      <c r="AA1000" s="135"/>
      <c r="AB1000" s="135"/>
      <c r="AC1000" s="135"/>
    </row>
    <row r="1001" ht="15.75" customHeight="1">
      <c r="A1001" s="135"/>
      <c r="B1001" s="135"/>
      <c r="C1001" s="135"/>
      <c r="D1001" s="135"/>
      <c r="E1001" s="135"/>
      <c r="F1001" s="135"/>
      <c r="G1001" s="135"/>
      <c r="H1001" s="135"/>
      <c r="I1001" s="135"/>
      <c r="J1001" s="135"/>
      <c r="K1001" s="135"/>
      <c r="L1001" s="135"/>
      <c r="M1001" s="135"/>
      <c r="N1001" s="135"/>
      <c r="O1001" s="135"/>
      <c r="P1001" s="135"/>
      <c r="Q1001" s="135"/>
      <c r="R1001" s="135"/>
      <c r="S1001" s="135"/>
      <c r="T1001" s="135"/>
      <c r="U1001" s="135"/>
      <c r="V1001" s="135"/>
      <c r="W1001" s="135"/>
      <c r="X1001" s="135"/>
      <c r="Y1001" s="135"/>
      <c r="Z1001" s="135"/>
      <c r="AA1001" s="135"/>
      <c r="AB1001" s="135"/>
      <c r="AC1001" s="135"/>
    </row>
    <row r="1002" ht="15.75" customHeight="1">
      <c r="A1002" s="135"/>
      <c r="B1002" s="135"/>
      <c r="C1002" s="135"/>
      <c r="D1002" s="135"/>
      <c r="E1002" s="135"/>
      <c r="F1002" s="135"/>
      <c r="G1002" s="135"/>
      <c r="H1002" s="135"/>
      <c r="I1002" s="135"/>
      <c r="J1002" s="135"/>
      <c r="K1002" s="135"/>
      <c r="L1002" s="135"/>
      <c r="M1002" s="135"/>
      <c r="N1002" s="135"/>
      <c r="O1002" s="135"/>
      <c r="P1002" s="135"/>
      <c r="Q1002" s="135"/>
      <c r="R1002" s="135"/>
      <c r="S1002" s="135"/>
      <c r="T1002" s="135"/>
      <c r="U1002" s="135"/>
      <c r="V1002" s="135"/>
      <c r="W1002" s="135"/>
      <c r="X1002" s="135"/>
      <c r="Y1002" s="135"/>
      <c r="Z1002" s="135"/>
      <c r="AA1002" s="135"/>
      <c r="AB1002" s="135"/>
      <c r="AC1002" s="135"/>
    </row>
    <row r="1003" ht="15.75" customHeight="1">
      <c r="A1003" s="135"/>
      <c r="B1003" s="135"/>
      <c r="C1003" s="135"/>
      <c r="D1003" s="135"/>
      <c r="E1003" s="135"/>
      <c r="F1003" s="135"/>
      <c r="G1003" s="135"/>
      <c r="H1003" s="135"/>
      <c r="I1003" s="135"/>
      <c r="J1003" s="135"/>
      <c r="K1003" s="135"/>
      <c r="L1003" s="135"/>
      <c r="M1003" s="135"/>
      <c r="N1003" s="135"/>
      <c r="O1003" s="135"/>
      <c r="P1003" s="135"/>
      <c r="Q1003" s="135"/>
      <c r="R1003" s="135"/>
      <c r="S1003" s="135"/>
      <c r="T1003" s="135"/>
      <c r="U1003" s="135"/>
      <c r="V1003" s="135"/>
      <c r="W1003" s="135"/>
      <c r="X1003" s="135"/>
      <c r="Y1003" s="135"/>
      <c r="Z1003" s="135"/>
      <c r="AA1003" s="135"/>
      <c r="AB1003" s="135"/>
      <c r="AC1003" s="135"/>
    </row>
    <row r="1004" ht="15.75" customHeight="1">
      <c r="A1004" s="135"/>
      <c r="B1004" s="135"/>
      <c r="C1004" s="135"/>
      <c r="D1004" s="135"/>
      <c r="E1004" s="135"/>
      <c r="F1004" s="135"/>
      <c r="G1004" s="135"/>
      <c r="H1004" s="135"/>
      <c r="I1004" s="135"/>
      <c r="J1004" s="135"/>
      <c r="K1004" s="135"/>
      <c r="L1004" s="135"/>
      <c r="M1004" s="135"/>
      <c r="N1004" s="135"/>
      <c r="O1004" s="135"/>
      <c r="P1004" s="135"/>
      <c r="Q1004" s="135"/>
      <c r="R1004" s="135"/>
      <c r="S1004" s="135"/>
      <c r="T1004" s="135"/>
      <c r="U1004" s="135"/>
      <c r="V1004" s="135"/>
      <c r="W1004" s="135"/>
      <c r="X1004" s="135"/>
      <c r="Y1004" s="135"/>
      <c r="Z1004" s="135"/>
      <c r="AA1004" s="135"/>
      <c r="AB1004" s="135"/>
      <c r="AC1004" s="135"/>
    </row>
    <row r="1005" ht="15.75" customHeight="1">
      <c r="A1005" s="135"/>
      <c r="B1005" s="135"/>
      <c r="C1005" s="135"/>
      <c r="D1005" s="135"/>
      <c r="E1005" s="135"/>
      <c r="F1005" s="135"/>
      <c r="G1005" s="135"/>
      <c r="H1005" s="135"/>
      <c r="I1005" s="135"/>
      <c r="J1005" s="135"/>
      <c r="K1005" s="135"/>
      <c r="L1005" s="135"/>
      <c r="M1005" s="135"/>
      <c r="N1005" s="135"/>
      <c r="O1005" s="135"/>
      <c r="P1005" s="135"/>
      <c r="Q1005" s="135"/>
      <c r="R1005" s="135"/>
      <c r="S1005" s="135"/>
      <c r="T1005" s="135"/>
      <c r="U1005" s="135"/>
      <c r="V1005" s="135"/>
      <c r="W1005" s="135"/>
      <c r="X1005" s="135"/>
      <c r="Y1005" s="135"/>
      <c r="Z1005" s="135"/>
      <c r="AA1005" s="135"/>
      <c r="AB1005" s="135"/>
      <c r="AC1005" s="135"/>
    </row>
    <row r="1006" ht="15.75" customHeight="1">
      <c r="A1006" s="135"/>
      <c r="B1006" s="135"/>
      <c r="C1006" s="135"/>
      <c r="D1006" s="135"/>
      <c r="E1006" s="135"/>
      <c r="F1006" s="135"/>
      <c r="G1006" s="135"/>
      <c r="H1006" s="135"/>
      <c r="I1006" s="135"/>
      <c r="J1006" s="135"/>
      <c r="K1006" s="135"/>
      <c r="L1006" s="135"/>
      <c r="M1006" s="135"/>
      <c r="N1006" s="135"/>
      <c r="O1006" s="135"/>
      <c r="P1006" s="135"/>
      <c r="Q1006" s="135"/>
      <c r="R1006" s="135"/>
      <c r="S1006" s="135"/>
      <c r="T1006" s="135"/>
      <c r="U1006" s="135"/>
      <c r="V1006" s="135"/>
      <c r="W1006" s="135"/>
      <c r="X1006" s="135"/>
      <c r="Y1006" s="135"/>
      <c r="Z1006" s="135"/>
      <c r="AA1006" s="135"/>
      <c r="AB1006" s="135"/>
      <c r="AC1006" s="135"/>
    </row>
    <row r="1007" ht="15.75" customHeight="1">
      <c r="A1007" s="135"/>
      <c r="B1007" s="135"/>
      <c r="C1007" s="135"/>
      <c r="D1007" s="135"/>
      <c r="E1007" s="135"/>
      <c r="F1007" s="135"/>
      <c r="G1007" s="135"/>
      <c r="H1007" s="135"/>
      <c r="I1007" s="135"/>
      <c r="J1007" s="135"/>
      <c r="K1007" s="135"/>
      <c r="L1007" s="135"/>
      <c r="M1007" s="135"/>
      <c r="N1007" s="135"/>
      <c r="O1007" s="135"/>
      <c r="P1007" s="135"/>
      <c r="Q1007" s="135"/>
      <c r="R1007" s="135"/>
      <c r="S1007" s="135"/>
      <c r="T1007" s="135"/>
      <c r="U1007" s="135"/>
      <c r="V1007" s="135"/>
      <c r="W1007" s="135"/>
      <c r="X1007" s="135"/>
      <c r="Y1007" s="135"/>
      <c r="Z1007" s="135"/>
      <c r="AA1007" s="135"/>
      <c r="AB1007" s="135"/>
      <c r="AC1007" s="135"/>
    </row>
    <row r="1008" ht="15.75" customHeight="1">
      <c r="A1008" s="135"/>
      <c r="B1008" s="135"/>
      <c r="C1008" s="135"/>
      <c r="D1008" s="135"/>
      <c r="E1008" s="135"/>
      <c r="F1008" s="135"/>
      <c r="G1008" s="135"/>
      <c r="H1008" s="135"/>
      <c r="I1008" s="135"/>
      <c r="J1008" s="135"/>
      <c r="K1008" s="135"/>
      <c r="L1008" s="135"/>
      <c r="M1008" s="135"/>
      <c r="N1008" s="135"/>
      <c r="O1008" s="135"/>
      <c r="P1008" s="135"/>
      <c r="Q1008" s="135"/>
      <c r="R1008" s="135"/>
      <c r="S1008" s="135"/>
      <c r="T1008" s="135"/>
      <c r="U1008" s="135"/>
      <c r="V1008" s="135"/>
      <c r="W1008" s="135"/>
      <c r="X1008" s="135"/>
      <c r="Y1008" s="135"/>
      <c r="Z1008" s="135"/>
      <c r="AA1008" s="135"/>
      <c r="AB1008" s="135"/>
      <c r="AC1008" s="135"/>
    </row>
    <row r="1009" ht="15.75" customHeight="1">
      <c r="A1009" s="135"/>
      <c r="B1009" s="135"/>
      <c r="C1009" s="135"/>
      <c r="D1009" s="135"/>
      <c r="E1009" s="135"/>
      <c r="F1009" s="135"/>
      <c r="G1009" s="135"/>
      <c r="H1009" s="135"/>
      <c r="I1009" s="135"/>
      <c r="J1009" s="135"/>
      <c r="K1009" s="135"/>
      <c r="L1009" s="135"/>
      <c r="M1009" s="135"/>
      <c r="N1009" s="135"/>
      <c r="O1009" s="135"/>
      <c r="P1009" s="135"/>
      <c r="Q1009" s="135"/>
      <c r="R1009" s="135"/>
      <c r="S1009" s="135"/>
      <c r="T1009" s="135"/>
      <c r="U1009" s="135"/>
      <c r="V1009" s="135"/>
      <c r="W1009" s="135"/>
      <c r="X1009" s="135"/>
      <c r="Y1009" s="135"/>
      <c r="Z1009" s="135"/>
      <c r="AA1009" s="135"/>
      <c r="AB1009" s="135"/>
      <c r="AC1009" s="135"/>
    </row>
    <row r="1010" ht="15.75" customHeight="1">
      <c r="A1010" s="135"/>
      <c r="B1010" s="135"/>
      <c r="C1010" s="135"/>
      <c r="D1010" s="135"/>
      <c r="E1010" s="135"/>
      <c r="F1010" s="135"/>
      <c r="G1010" s="135"/>
      <c r="H1010" s="135"/>
      <c r="I1010" s="135"/>
      <c r="J1010" s="135"/>
      <c r="K1010" s="135"/>
      <c r="L1010" s="135"/>
      <c r="M1010" s="135"/>
      <c r="N1010" s="135"/>
      <c r="O1010" s="135"/>
      <c r="P1010" s="135"/>
      <c r="Q1010" s="135"/>
      <c r="R1010" s="135"/>
      <c r="S1010" s="135"/>
      <c r="T1010" s="135"/>
      <c r="U1010" s="135"/>
      <c r="V1010" s="135"/>
      <c r="W1010" s="135"/>
      <c r="X1010" s="135"/>
      <c r="Y1010" s="135"/>
      <c r="Z1010" s="135"/>
      <c r="AA1010" s="135"/>
      <c r="AB1010" s="135"/>
      <c r="AC1010" s="135"/>
    </row>
    <row r="1011" ht="15.75" customHeight="1">
      <c r="A1011" s="135"/>
      <c r="B1011" s="135"/>
      <c r="C1011" s="135"/>
      <c r="D1011" s="135"/>
      <c r="E1011" s="135"/>
      <c r="F1011" s="135"/>
      <c r="G1011" s="135"/>
      <c r="H1011" s="135"/>
      <c r="I1011" s="135"/>
      <c r="J1011" s="135"/>
      <c r="K1011" s="135"/>
      <c r="L1011" s="135"/>
      <c r="M1011" s="135"/>
      <c r="N1011" s="135"/>
      <c r="O1011" s="135"/>
      <c r="P1011" s="135"/>
      <c r="Q1011" s="135"/>
      <c r="R1011" s="135"/>
      <c r="S1011" s="135"/>
      <c r="T1011" s="135"/>
      <c r="U1011" s="135"/>
      <c r="V1011" s="135"/>
      <c r="W1011" s="135"/>
      <c r="X1011" s="135"/>
      <c r="Y1011" s="135"/>
      <c r="Z1011" s="135"/>
      <c r="AA1011" s="135"/>
      <c r="AB1011" s="135"/>
      <c r="AC1011" s="135"/>
    </row>
    <row r="1012" ht="15.75" customHeight="1">
      <c r="A1012" s="135"/>
      <c r="B1012" s="135"/>
      <c r="C1012" s="135"/>
      <c r="D1012" s="135"/>
      <c r="E1012" s="135"/>
      <c r="F1012" s="135"/>
      <c r="G1012" s="135"/>
      <c r="H1012" s="135"/>
      <c r="I1012" s="135"/>
      <c r="J1012" s="135"/>
      <c r="K1012" s="135"/>
      <c r="L1012" s="135"/>
      <c r="M1012" s="135"/>
      <c r="N1012" s="135"/>
      <c r="O1012" s="135"/>
      <c r="P1012" s="135"/>
      <c r="Q1012" s="135"/>
      <c r="R1012" s="135"/>
      <c r="S1012" s="135"/>
      <c r="T1012" s="135"/>
      <c r="U1012" s="135"/>
      <c r="V1012" s="135"/>
      <c r="W1012" s="135"/>
      <c r="X1012" s="135"/>
      <c r="Y1012" s="135"/>
      <c r="Z1012" s="135"/>
      <c r="AA1012" s="135"/>
      <c r="AB1012" s="135"/>
      <c r="AC1012" s="135"/>
    </row>
    <row r="1013" ht="15.75" customHeight="1">
      <c r="A1013" s="135"/>
      <c r="B1013" s="135"/>
      <c r="C1013" s="135"/>
      <c r="D1013" s="135"/>
      <c r="E1013" s="135"/>
      <c r="F1013" s="135"/>
      <c r="G1013" s="135"/>
      <c r="H1013" s="135"/>
      <c r="I1013" s="135"/>
      <c r="J1013" s="135"/>
      <c r="K1013" s="135"/>
      <c r="L1013" s="135"/>
      <c r="M1013" s="135"/>
      <c r="N1013" s="135"/>
      <c r="O1013" s="135"/>
      <c r="P1013" s="135"/>
      <c r="Q1013" s="135"/>
      <c r="R1013" s="135"/>
      <c r="S1013" s="135"/>
      <c r="T1013" s="135"/>
      <c r="U1013" s="135"/>
      <c r="V1013" s="135"/>
      <c r="W1013" s="135"/>
      <c r="X1013" s="135"/>
      <c r="Y1013" s="135"/>
      <c r="Z1013" s="135"/>
      <c r="AA1013" s="135"/>
      <c r="AB1013" s="135"/>
      <c r="AC1013" s="135"/>
    </row>
    <row r="1014" ht="15.75" customHeight="1">
      <c r="A1014" s="135"/>
      <c r="B1014" s="135"/>
      <c r="C1014" s="135"/>
      <c r="D1014" s="135"/>
      <c r="E1014" s="135"/>
      <c r="F1014" s="135"/>
      <c r="G1014" s="135"/>
      <c r="H1014" s="135"/>
      <c r="I1014" s="135"/>
      <c r="J1014" s="135"/>
      <c r="K1014" s="135"/>
      <c r="L1014" s="135"/>
      <c r="M1014" s="135"/>
      <c r="N1014" s="135"/>
      <c r="O1014" s="135"/>
      <c r="P1014" s="135"/>
      <c r="Q1014" s="135"/>
      <c r="R1014" s="135"/>
      <c r="S1014" s="135"/>
      <c r="T1014" s="135"/>
      <c r="U1014" s="135"/>
      <c r="V1014" s="135"/>
      <c r="W1014" s="135"/>
      <c r="X1014" s="135"/>
      <c r="Y1014" s="135"/>
      <c r="Z1014" s="135"/>
      <c r="AA1014" s="135"/>
      <c r="AB1014" s="135"/>
      <c r="AC1014" s="135"/>
    </row>
    <row r="1015" ht="15.75" customHeight="1">
      <c r="A1015" s="135"/>
      <c r="B1015" s="135"/>
      <c r="C1015" s="135"/>
      <c r="D1015" s="135"/>
      <c r="E1015" s="135"/>
      <c r="F1015" s="135"/>
      <c r="G1015" s="135"/>
      <c r="H1015" s="135"/>
      <c r="I1015" s="135"/>
      <c r="J1015" s="135"/>
      <c r="K1015" s="135"/>
      <c r="L1015" s="135"/>
      <c r="M1015" s="135"/>
      <c r="N1015" s="135"/>
      <c r="O1015" s="135"/>
      <c r="P1015" s="135"/>
      <c r="Q1015" s="135"/>
      <c r="R1015" s="135"/>
      <c r="S1015" s="135"/>
      <c r="T1015" s="135"/>
      <c r="U1015" s="135"/>
      <c r="V1015" s="135"/>
      <c r="W1015" s="135"/>
      <c r="X1015" s="135"/>
      <c r="Y1015" s="135"/>
      <c r="Z1015" s="135"/>
      <c r="AA1015" s="135"/>
      <c r="AB1015" s="135"/>
      <c r="AC1015" s="135"/>
    </row>
    <row r="1016" ht="15.75" customHeight="1">
      <c r="A1016" s="135"/>
      <c r="B1016" s="135"/>
      <c r="C1016" s="135"/>
      <c r="D1016" s="135"/>
      <c r="E1016" s="135"/>
      <c r="F1016" s="135"/>
      <c r="G1016" s="135"/>
      <c r="H1016" s="135"/>
      <c r="I1016" s="135"/>
      <c r="J1016" s="135"/>
      <c r="K1016" s="135"/>
      <c r="L1016" s="135"/>
      <c r="M1016" s="135"/>
      <c r="N1016" s="135"/>
      <c r="O1016" s="135"/>
      <c r="P1016" s="135"/>
      <c r="Q1016" s="135"/>
      <c r="R1016" s="135"/>
      <c r="S1016" s="135"/>
      <c r="T1016" s="135"/>
      <c r="U1016" s="135"/>
      <c r="V1016" s="135"/>
      <c r="W1016" s="135"/>
      <c r="X1016" s="135"/>
      <c r="Y1016" s="135"/>
      <c r="Z1016" s="135"/>
      <c r="AA1016" s="135"/>
      <c r="AB1016" s="135"/>
      <c r="AC1016" s="135"/>
    </row>
    <row r="1017" ht="15.75" customHeight="1">
      <c r="A1017" s="135"/>
      <c r="B1017" s="135"/>
      <c r="C1017" s="135"/>
      <c r="D1017" s="135"/>
      <c r="E1017" s="135"/>
      <c r="F1017" s="135"/>
      <c r="G1017" s="135"/>
      <c r="H1017" s="135"/>
      <c r="I1017" s="135"/>
      <c r="J1017" s="135"/>
      <c r="K1017" s="135"/>
      <c r="L1017" s="135"/>
      <c r="M1017" s="135"/>
      <c r="N1017" s="135"/>
      <c r="O1017" s="135"/>
      <c r="P1017" s="135"/>
      <c r="Q1017" s="135"/>
      <c r="R1017" s="135"/>
      <c r="S1017" s="135"/>
      <c r="T1017" s="135"/>
      <c r="U1017" s="135"/>
      <c r="V1017" s="135"/>
      <c r="W1017" s="135"/>
      <c r="X1017" s="135"/>
      <c r="Y1017" s="135"/>
      <c r="Z1017" s="135"/>
      <c r="AA1017" s="135"/>
      <c r="AB1017" s="135"/>
      <c r="AC1017" s="135"/>
    </row>
    <row r="1018" ht="15.75" customHeight="1">
      <c r="A1018" s="135"/>
      <c r="B1018" s="135"/>
      <c r="C1018" s="135"/>
      <c r="D1018" s="135"/>
      <c r="E1018" s="135"/>
      <c r="F1018" s="135"/>
      <c r="G1018" s="135"/>
      <c r="H1018" s="135"/>
      <c r="I1018" s="135"/>
      <c r="J1018" s="135"/>
      <c r="K1018" s="135"/>
      <c r="L1018" s="135"/>
      <c r="M1018" s="135"/>
      <c r="N1018" s="135"/>
      <c r="O1018" s="135"/>
      <c r="P1018" s="135"/>
      <c r="Q1018" s="135"/>
      <c r="R1018" s="135"/>
      <c r="S1018" s="135"/>
      <c r="T1018" s="135"/>
      <c r="U1018" s="135"/>
      <c r="V1018" s="135"/>
      <c r="W1018" s="135"/>
      <c r="X1018" s="135"/>
      <c r="Y1018" s="135"/>
      <c r="Z1018" s="135"/>
      <c r="AA1018" s="135"/>
      <c r="AB1018" s="135"/>
      <c r="AC1018" s="135"/>
    </row>
    <row r="1019" ht="15.75" customHeight="1">
      <c r="A1019" s="135"/>
      <c r="B1019" s="135"/>
      <c r="C1019" s="135"/>
      <c r="D1019" s="135"/>
      <c r="E1019" s="135"/>
      <c r="F1019" s="135"/>
      <c r="G1019" s="135"/>
      <c r="H1019" s="135"/>
      <c r="I1019" s="135"/>
      <c r="J1019" s="135"/>
      <c r="K1019" s="135"/>
      <c r="L1019" s="135"/>
      <c r="M1019" s="135"/>
      <c r="N1019" s="135"/>
      <c r="O1019" s="135"/>
      <c r="P1019" s="135"/>
      <c r="Q1019" s="135"/>
      <c r="R1019" s="135"/>
      <c r="S1019" s="135"/>
      <c r="T1019" s="135"/>
      <c r="U1019" s="135"/>
      <c r="V1019" s="135"/>
      <c r="W1019" s="135"/>
      <c r="X1019" s="135"/>
      <c r="Y1019" s="135"/>
      <c r="Z1019" s="135"/>
      <c r="AA1019" s="135"/>
      <c r="AB1019" s="135"/>
      <c r="AC1019" s="135"/>
    </row>
    <row r="1020" ht="15.75" customHeight="1">
      <c r="A1020" s="135"/>
      <c r="B1020" s="135"/>
      <c r="C1020" s="135"/>
      <c r="D1020" s="135"/>
      <c r="E1020" s="135"/>
      <c r="F1020" s="135"/>
      <c r="G1020" s="135"/>
      <c r="H1020" s="135"/>
      <c r="I1020" s="135"/>
      <c r="J1020" s="135"/>
      <c r="K1020" s="135"/>
      <c r="L1020" s="135"/>
      <c r="M1020" s="135"/>
      <c r="N1020" s="135"/>
      <c r="O1020" s="135"/>
      <c r="P1020" s="135"/>
      <c r="Q1020" s="135"/>
      <c r="R1020" s="135"/>
      <c r="S1020" s="135"/>
      <c r="T1020" s="135"/>
      <c r="U1020" s="135"/>
      <c r="V1020" s="135"/>
      <c r="W1020" s="135"/>
      <c r="X1020" s="135"/>
      <c r="Y1020" s="135"/>
      <c r="Z1020" s="135"/>
      <c r="AA1020" s="135"/>
      <c r="AB1020" s="135"/>
      <c r="AC1020" s="135"/>
    </row>
    <row r="1021" ht="15.75" customHeight="1">
      <c r="A1021" s="135"/>
      <c r="B1021" s="135"/>
      <c r="C1021" s="135"/>
      <c r="D1021" s="135"/>
      <c r="E1021" s="135"/>
      <c r="F1021" s="135"/>
      <c r="G1021" s="135"/>
      <c r="H1021" s="135"/>
      <c r="I1021" s="135"/>
      <c r="J1021" s="135"/>
      <c r="K1021" s="135"/>
      <c r="L1021" s="135"/>
      <c r="M1021" s="135"/>
      <c r="N1021" s="135"/>
      <c r="O1021" s="135"/>
      <c r="P1021" s="135"/>
      <c r="Q1021" s="135"/>
      <c r="R1021" s="135"/>
      <c r="S1021" s="135"/>
      <c r="T1021" s="135"/>
      <c r="U1021" s="135"/>
      <c r="V1021" s="135"/>
      <c r="W1021" s="135"/>
      <c r="X1021" s="135"/>
      <c r="Y1021" s="135"/>
      <c r="Z1021" s="135"/>
      <c r="AA1021" s="135"/>
      <c r="AB1021" s="135"/>
      <c r="AC1021" s="135"/>
    </row>
    <row r="1022" ht="15.75" customHeight="1">
      <c r="A1022" s="135"/>
      <c r="B1022" s="135"/>
      <c r="C1022" s="135"/>
      <c r="D1022" s="135"/>
      <c r="E1022" s="135"/>
      <c r="F1022" s="135"/>
      <c r="G1022" s="135"/>
      <c r="H1022" s="135"/>
      <c r="I1022" s="135"/>
      <c r="J1022" s="135"/>
      <c r="K1022" s="135"/>
      <c r="L1022" s="135"/>
      <c r="M1022" s="135"/>
      <c r="N1022" s="135"/>
      <c r="O1022" s="135"/>
      <c r="P1022" s="135"/>
      <c r="Q1022" s="135"/>
      <c r="R1022" s="135"/>
      <c r="S1022" s="135"/>
      <c r="T1022" s="135"/>
      <c r="U1022" s="135"/>
      <c r="V1022" s="135"/>
      <c r="W1022" s="135"/>
      <c r="X1022" s="135"/>
      <c r="Y1022" s="135"/>
      <c r="Z1022" s="135"/>
      <c r="AA1022" s="135"/>
      <c r="AB1022" s="135"/>
      <c r="AC1022" s="135"/>
    </row>
    <row r="1023" ht="15.75" customHeight="1">
      <c r="A1023" s="135"/>
      <c r="B1023" s="135"/>
      <c r="C1023" s="135"/>
      <c r="D1023" s="135"/>
      <c r="E1023" s="135"/>
      <c r="F1023" s="135"/>
      <c r="G1023" s="135"/>
      <c r="H1023" s="135"/>
      <c r="I1023" s="135"/>
      <c r="J1023" s="135"/>
      <c r="K1023" s="135"/>
      <c r="L1023" s="135"/>
      <c r="M1023" s="135"/>
      <c r="N1023" s="135"/>
      <c r="O1023" s="135"/>
      <c r="P1023" s="135"/>
      <c r="Q1023" s="135"/>
      <c r="R1023" s="135"/>
      <c r="S1023" s="135"/>
      <c r="T1023" s="135"/>
      <c r="U1023" s="135"/>
      <c r="V1023" s="135"/>
      <c r="W1023" s="135"/>
      <c r="X1023" s="135"/>
      <c r="Y1023" s="135"/>
      <c r="Z1023" s="135"/>
      <c r="AA1023" s="135"/>
      <c r="AB1023" s="135"/>
      <c r="AC1023" s="135"/>
    </row>
    <row r="1024" ht="15.75" customHeight="1">
      <c r="A1024" s="135"/>
      <c r="B1024" s="135"/>
      <c r="C1024" s="135"/>
      <c r="D1024" s="135"/>
      <c r="E1024" s="135"/>
      <c r="F1024" s="135"/>
      <c r="G1024" s="135"/>
      <c r="H1024" s="135"/>
      <c r="I1024" s="135"/>
      <c r="J1024" s="135"/>
      <c r="K1024" s="135"/>
      <c r="L1024" s="135"/>
      <c r="M1024" s="135"/>
      <c r="N1024" s="135"/>
      <c r="O1024" s="135"/>
      <c r="P1024" s="135"/>
      <c r="Q1024" s="135"/>
      <c r="R1024" s="135"/>
      <c r="S1024" s="135"/>
      <c r="T1024" s="135"/>
      <c r="U1024" s="135"/>
      <c r="V1024" s="135"/>
      <c r="W1024" s="135"/>
      <c r="X1024" s="135"/>
      <c r="Y1024" s="135"/>
      <c r="Z1024" s="135"/>
      <c r="AA1024" s="135"/>
      <c r="AB1024" s="135"/>
      <c r="AC1024" s="135"/>
    </row>
    <row r="1025" ht="15.75" customHeight="1">
      <c r="A1025" s="135"/>
      <c r="B1025" s="135"/>
      <c r="C1025" s="135"/>
      <c r="D1025" s="135"/>
      <c r="E1025" s="135"/>
      <c r="F1025" s="135"/>
      <c r="G1025" s="135"/>
      <c r="H1025" s="135"/>
      <c r="I1025" s="135"/>
      <c r="J1025" s="135"/>
      <c r="K1025" s="135"/>
      <c r="L1025" s="135"/>
      <c r="M1025" s="135"/>
      <c r="N1025" s="135"/>
      <c r="O1025" s="135"/>
      <c r="P1025" s="135"/>
      <c r="Q1025" s="135"/>
      <c r="R1025" s="135"/>
      <c r="S1025" s="135"/>
      <c r="T1025" s="135"/>
      <c r="U1025" s="135"/>
      <c r="V1025" s="135"/>
      <c r="W1025" s="135"/>
      <c r="X1025" s="135"/>
      <c r="Y1025" s="135"/>
      <c r="Z1025" s="135"/>
      <c r="AA1025" s="135"/>
      <c r="AB1025" s="135"/>
      <c r="AC1025" s="135"/>
    </row>
    <row r="1026" ht="15.75" customHeight="1">
      <c r="A1026" s="135"/>
      <c r="B1026" s="135"/>
      <c r="C1026" s="135"/>
      <c r="D1026" s="135"/>
      <c r="E1026" s="135"/>
      <c r="F1026" s="135"/>
      <c r="G1026" s="135"/>
      <c r="H1026" s="135"/>
      <c r="I1026" s="135"/>
      <c r="J1026" s="135"/>
      <c r="K1026" s="135"/>
      <c r="L1026" s="135"/>
      <c r="M1026" s="135"/>
      <c r="N1026" s="135"/>
      <c r="O1026" s="135"/>
      <c r="P1026" s="135"/>
      <c r="Q1026" s="135"/>
      <c r="R1026" s="135"/>
      <c r="S1026" s="135"/>
      <c r="T1026" s="135"/>
      <c r="U1026" s="135"/>
      <c r="V1026" s="135"/>
      <c r="W1026" s="135"/>
      <c r="X1026" s="135"/>
      <c r="Y1026" s="135"/>
      <c r="Z1026" s="135"/>
      <c r="AA1026" s="135"/>
      <c r="AB1026" s="135"/>
      <c r="AC1026" s="135"/>
    </row>
    <row r="1027" ht="15.75" customHeight="1">
      <c r="A1027" s="135"/>
      <c r="B1027" s="135"/>
      <c r="C1027" s="135"/>
      <c r="D1027" s="135"/>
      <c r="E1027" s="135"/>
      <c r="F1027" s="135"/>
      <c r="G1027" s="135"/>
      <c r="H1027" s="135"/>
      <c r="I1027" s="135"/>
      <c r="J1027" s="135"/>
      <c r="K1027" s="135"/>
      <c r="L1027" s="135"/>
      <c r="M1027" s="135"/>
      <c r="N1027" s="135"/>
      <c r="O1027" s="135"/>
      <c r="P1027" s="135"/>
      <c r="Q1027" s="135"/>
      <c r="R1027" s="135"/>
      <c r="S1027" s="135"/>
      <c r="T1027" s="135"/>
      <c r="U1027" s="135"/>
      <c r="V1027" s="135"/>
      <c r="W1027" s="135"/>
      <c r="X1027" s="135"/>
      <c r="Y1027" s="135"/>
      <c r="Z1027" s="135"/>
      <c r="AA1027" s="135"/>
      <c r="AB1027" s="135"/>
      <c r="AC1027" s="135"/>
    </row>
    <row r="1028" ht="15.75" customHeight="1">
      <c r="A1028" s="135"/>
      <c r="B1028" s="135"/>
      <c r="C1028" s="135"/>
      <c r="D1028" s="135"/>
      <c r="E1028" s="135"/>
      <c r="F1028" s="135"/>
      <c r="G1028" s="135"/>
      <c r="H1028" s="135"/>
      <c r="I1028" s="135"/>
      <c r="J1028" s="135"/>
      <c r="K1028" s="135"/>
      <c r="L1028" s="135"/>
      <c r="M1028" s="135"/>
      <c r="N1028" s="135"/>
      <c r="O1028" s="135"/>
      <c r="P1028" s="135"/>
      <c r="Q1028" s="135"/>
      <c r="R1028" s="135"/>
      <c r="S1028" s="135"/>
      <c r="T1028" s="135"/>
      <c r="U1028" s="135"/>
      <c r="V1028" s="135"/>
      <c r="W1028" s="135"/>
      <c r="X1028" s="135"/>
      <c r="Y1028" s="135"/>
      <c r="Z1028" s="135"/>
      <c r="AA1028" s="135"/>
      <c r="AB1028" s="135"/>
      <c r="AC1028" s="135"/>
    </row>
    <row r="1029" ht="15.75" customHeight="1">
      <c r="A1029" s="135"/>
      <c r="B1029" s="135"/>
      <c r="C1029" s="135"/>
      <c r="D1029" s="135"/>
      <c r="E1029" s="135"/>
      <c r="F1029" s="135"/>
      <c r="G1029" s="135"/>
      <c r="H1029" s="135"/>
      <c r="I1029" s="135"/>
      <c r="J1029" s="135"/>
      <c r="K1029" s="135"/>
      <c r="L1029" s="135"/>
      <c r="M1029" s="135"/>
      <c r="N1029" s="135"/>
      <c r="O1029" s="135"/>
      <c r="P1029" s="135"/>
      <c r="Q1029" s="135"/>
      <c r="R1029" s="135"/>
      <c r="S1029" s="135"/>
      <c r="T1029" s="135"/>
      <c r="U1029" s="135"/>
      <c r="V1029" s="135"/>
      <c r="W1029" s="135"/>
      <c r="X1029" s="135"/>
      <c r="Y1029" s="135"/>
      <c r="Z1029" s="135"/>
      <c r="AA1029" s="135"/>
      <c r="AB1029" s="135"/>
      <c r="AC1029" s="135"/>
    </row>
    <row r="1030" ht="15.75" customHeight="1">
      <c r="A1030" s="135"/>
      <c r="B1030" s="135"/>
      <c r="C1030" s="135"/>
      <c r="D1030" s="135"/>
      <c r="E1030" s="135"/>
      <c r="F1030" s="135"/>
      <c r="G1030" s="135"/>
      <c r="H1030" s="135"/>
      <c r="I1030" s="135"/>
      <c r="J1030" s="135"/>
      <c r="K1030" s="135"/>
      <c r="L1030" s="135"/>
      <c r="M1030" s="135"/>
      <c r="N1030" s="135"/>
      <c r="O1030" s="135"/>
      <c r="P1030" s="135"/>
      <c r="Q1030" s="135"/>
      <c r="R1030" s="135"/>
      <c r="S1030" s="135"/>
      <c r="T1030" s="135"/>
      <c r="U1030" s="135"/>
      <c r="V1030" s="135"/>
      <c r="W1030" s="135"/>
      <c r="X1030" s="135"/>
      <c r="Y1030" s="135"/>
      <c r="Z1030" s="135"/>
      <c r="AA1030" s="135"/>
      <c r="AB1030" s="135"/>
      <c r="AC1030" s="135"/>
    </row>
    <row r="1031" ht="15.75" customHeight="1">
      <c r="A1031" s="135"/>
      <c r="B1031" s="135"/>
      <c r="C1031" s="135"/>
      <c r="D1031" s="135"/>
      <c r="E1031" s="135"/>
      <c r="F1031" s="135"/>
      <c r="G1031" s="135"/>
      <c r="H1031" s="135"/>
      <c r="I1031" s="135"/>
      <c r="J1031" s="135"/>
      <c r="K1031" s="135"/>
      <c r="L1031" s="135"/>
      <c r="M1031" s="135"/>
      <c r="N1031" s="135"/>
      <c r="O1031" s="135"/>
      <c r="P1031" s="135"/>
      <c r="Q1031" s="135"/>
      <c r="R1031" s="135"/>
      <c r="S1031" s="135"/>
      <c r="T1031" s="135"/>
      <c r="U1031" s="135"/>
      <c r="V1031" s="135"/>
      <c r="W1031" s="135"/>
      <c r="X1031" s="135"/>
      <c r="Y1031" s="135"/>
      <c r="Z1031" s="135"/>
      <c r="AA1031" s="135"/>
      <c r="AB1031" s="135"/>
      <c r="AC1031" s="135"/>
    </row>
    <row r="1032" ht="15.75" customHeight="1">
      <c r="A1032" s="135"/>
      <c r="B1032" s="135"/>
      <c r="C1032" s="135"/>
      <c r="D1032" s="135"/>
      <c r="E1032" s="135"/>
      <c r="F1032" s="135"/>
      <c r="G1032" s="135"/>
      <c r="H1032" s="135"/>
      <c r="I1032" s="135"/>
      <c r="J1032" s="135"/>
      <c r="K1032" s="135"/>
      <c r="L1032" s="135"/>
      <c r="M1032" s="135"/>
      <c r="N1032" s="135"/>
      <c r="O1032" s="135"/>
      <c r="P1032" s="135"/>
      <c r="Q1032" s="135"/>
      <c r="R1032" s="135"/>
      <c r="S1032" s="135"/>
      <c r="T1032" s="135"/>
      <c r="U1032" s="135"/>
      <c r="V1032" s="135"/>
      <c r="W1032" s="135"/>
      <c r="X1032" s="135"/>
      <c r="Y1032" s="135"/>
      <c r="Z1032" s="135"/>
      <c r="AA1032" s="135"/>
      <c r="AB1032" s="135"/>
      <c r="AC1032" s="135"/>
    </row>
    <row r="1033" ht="15.75" customHeight="1">
      <c r="A1033" s="135"/>
      <c r="B1033" s="135"/>
      <c r="C1033" s="135"/>
      <c r="D1033" s="135"/>
      <c r="E1033" s="135"/>
      <c r="F1033" s="135"/>
      <c r="G1033" s="135"/>
      <c r="H1033" s="135"/>
      <c r="I1033" s="135"/>
      <c r="J1033" s="135"/>
      <c r="K1033" s="135"/>
      <c r="L1033" s="135"/>
      <c r="M1033" s="135"/>
      <c r="N1033" s="135"/>
      <c r="O1033" s="135"/>
      <c r="P1033" s="135"/>
      <c r="Q1033" s="135"/>
      <c r="R1033" s="135"/>
      <c r="S1033" s="135"/>
      <c r="T1033" s="135"/>
      <c r="U1033" s="135"/>
      <c r="V1033" s="135"/>
      <c r="W1033" s="135"/>
      <c r="X1033" s="135"/>
      <c r="Y1033" s="135"/>
      <c r="Z1033" s="135"/>
      <c r="AA1033" s="135"/>
      <c r="AB1033" s="135"/>
      <c r="AC1033" s="135"/>
    </row>
    <row r="1034" ht="15.75" customHeight="1">
      <c r="A1034" s="135"/>
      <c r="B1034" s="135"/>
      <c r="C1034" s="135"/>
      <c r="D1034" s="135"/>
      <c r="E1034" s="135"/>
      <c r="F1034" s="135"/>
      <c r="G1034" s="135"/>
      <c r="H1034" s="135"/>
      <c r="I1034" s="135"/>
      <c r="J1034" s="135"/>
      <c r="K1034" s="135"/>
      <c r="L1034" s="135"/>
      <c r="M1034" s="135"/>
      <c r="N1034" s="135"/>
      <c r="O1034" s="135"/>
      <c r="P1034" s="135"/>
      <c r="Q1034" s="135"/>
      <c r="R1034" s="135"/>
      <c r="S1034" s="135"/>
      <c r="T1034" s="135"/>
      <c r="U1034" s="135"/>
      <c r="V1034" s="135"/>
      <c r="W1034" s="135"/>
      <c r="X1034" s="135"/>
      <c r="Y1034" s="135"/>
      <c r="Z1034" s="135"/>
      <c r="AA1034" s="135"/>
      <c r="AB1034" s="135"/>
      <c r="AC1034" s="135"/>
    </row>
    <row r="1035" ht="15.75" customHeight="1">
      <c r="A1035" s="135"/>
      <c r="B1035" s="135"/>
      <c r="C1035" s="135"/>
      <c r="D1035" s="135"/>
      <c r="E1035" s="135"/>
      <c r="F1035" s="135"/>
      <c r="G1035" s="135"/>
      <c r="H1035" s="135"/>
      <c r="I1035" s="135"/>
      <c r="J1035" s="135"/>
      <c r="K1035" s="135"/>
      <c r="L1035" s="135"/>
      <c r="M1035" s="135"/>
      <c r="N1035" s="135"/>
      <c r="O1035" s="135"/>
      <c r="P1035" s="135"/>
      <c r="Q1035" s="135"/>
      <c r="R1035" s="135"/>
      <c r="S1035" s="135"/>
      <c r="T1035" s="135"/>
      <c r="U1035" s="135"/>
      <c r="V1035" s="135"/>
      <c r="W1035" s="135"/>
      <c r="X1035" s="135"/>
      <c r="Y1035" s="135"/>
      <c r="Z1035" s="135"/>
      <c r="AA1035" s="135"/>
      <c r="AB1035" s="135"/>
      <c r="AC1035" s="135"/>
    </row>
    <row r="1036" ht="15.75" customHeight="1">
      <c r="A1036" s="135"/>
      <c r="B1036" s="135"/>
      <c r="C1036" s="135"/>
      <c r="D1036" s="135"/>
      <c r="E1036" s="135"/>
      <c r="F1036" s="135"/>
      <c r="G1036" s="135"/>
      <c r="H1036" s="135"/>
      <c r="I1036" s="135"/>
      <c r="J1036" s="135"/>
      <c r="K1036" s="135"/>
      <c r="L1036" s="135"/>
      <c r="M1036" s="135"/>
      <c r="N1036" s="135"/>
      <c r="O1036" s="135"/>
      <c r="P1036" s="135"/>
      <c r="Q1036" s="135"/>
      <c r="R1036" s="135"/>
      <c r="S1036" s="135"/>
      <c r="T1036" s="135"/>
      <c r="U1036" s="135"/>
      <c r="V1036" s="135"/>
      <c r="W1036" s="135"/>
      <c r="X1036" s="135"/>
      <c r="Y1036" s="135"/>
      <c r="Z1036" s="135"/>
      <c r="AA1036" s="135"/>
      <c r="AB1036" s="135"/>
      <c r="AC1036" s="135"/>
    </row>
    <row r="1037" ht="15.75" customHeight="1">
      <c r="A1037" s="135"/>
      <c r="B1037" s="135"/>
      <c r="C1037" s="135"/>
      <c r="D1037" s="135"/>
      <c r="E1037" s="135"/>
      <c r="F1037" s="135"/>
      <c r="G1037" s="135"/>
      <c r="H1037" s="135"/>
      <c r="I1037" s="135"/>
      <c r="J1037" s="135"/>
      <c r="K1037" s="135"/>
      <c r="L1037" s="135"/>
      <c r="M1037" s="135"/>
      <c r="N1037" s="135"/>
      <c r="O1037" s="135"/>
      <c r="P1037" s="135"/>
      <c r="Q1037" s="135"/>
      <c r="R1037" s="135"/>
      <c r="S1037" s="135"/>
      <c r="T1037" s="135"/>
      <c r="U1037" s="135"/>
      <c r="V1037" s="135"/>
      <c r="W1037" s="135"/>
      <c r="X1037" s="135"/>
      <c r="Y1037" s="135"/>
      <c r="Z1037" s="135"/>
      <c r="AA1037" s="135"/>
      <c r="AB1037" s="135"/>
      <c r="AC1037" s="135"/>
    </row>
    <row r="1038" ht="15.75" customHeight="1">
      <c r="A1038" s="135"/>
      <c r="B1038" s="135"/>
      <c r="C1038" s="135"/>
      <c r="D1038" s="135"/>
      <c r="E1038" s="135"/>
      <c r="F1038" s="135"/>
      <c r="G1038" s="135"/>
      <c r="H1038" s="135"/>
      <c r="I1038" s="135"/>
      <c r="J1038" s="135"/>
      <c r="K1038" s="135"/>
      <c r="L1038" s="135"/>
      <c r="M1038" s="135"/>
      <c r="N1038" s="135"/>
      <c r="O1038" s="135"/>
      <c r="P1038" s="135"/>
      <c r="Q1038" s="135"/>
      <c r="R1038" s="135"/>
      <c r="S1038" s="135"/>
      <c r="T1038" s="135"/>
      <c r="U1038" s="135"/>
      <c r="V1038" s="135"/>
      <c r="W1038" s="135"/>
      <c r="X1038" s="135"/>
      <c r="Y1038" s="135"/>
      <c r="Z1038" s="135"/>
      <c r="AA1038" s="135"/>
      <c r="AB1038" s="135"/>
      <c r="AC1038" s="135"/>
    </row>
    <row r="1039" ht="15.75" customHeight="1">
      <c r="A1039" s="135"/>
      <c r="B1039" s="135"/>
      <c r="C1039" s="135"/>
      <c r="D1039" s="135"/>
      <c r="E1039" s="135"/>
      <c r="F1039" s="135"/>
      <c r="G1039" s="135"/>
      <c r="H1039" s="135"/>
      <c r="I1039" s="135"/>
      <c r="J1039" s="135"/>
      <c r="K1039" s="135"/>
      <c r="L1039" s="135"/>
      <c r="M1039" s="135"/>
      <c r="N1039" s="135"/>
      <c r="O1039" s="135"/>
      <c r="P1039" s="135"/>
      <c r="Q1039" s="135"/>
      <c r="R1039" s="135"/>
      <c r="S1039" s="135"/>
      <c r="T1039" s="135"/>
      <c r="U1039" s="135"/>
      <c r="V1039" s="135"/>
      <c r="W1039" s="135"/>
      <c r="X1039" s="135"/>
      <c r="Y1039" s="135"/>
      <c r="Z1039" s="135"/>
      <c r="AA1039" s="135"/>
      <c r="AB1039" s="135"/>
      <c r="AC1039" s="135"/>
    </row>
    <row r="1040" ht="15.75" customHeight="1">
      <c r="A1040" s="135"/>
      <c r="B1040" s="135"/>
      <c r="C1040" s="135"/>
      <c r="D1040" s="135"/>
      <c r="E1040" s="135"/>
      <c r="F1040" s="135"/>
      <c r="G1040" s="135"/>
      <c r="H1040" s="135"/>
      <c r="I1040" s="135"/>
      <c r="J1040" s="135"/>
      <c r="K1040" s="135"/>
      <c r="L1040" s="135"/>
      <c r="M1040" s="135"/>
      <c r="N1040" s="135"/>
      <c r="O1040" s="135"/>
      <c r="P1040" s="135"/>
      <c r="Q1040" s="135"/>
      <c r="R1040" s="135"/>
      <c r="S1040" s="135"/>
      <c r="T1040" s="135"/>
      <c r="U1040" s="135"/>
      <c r="V1040" s="135"/>
      <c r="W1040" s="135"/>
      <c r="X1040" s="135"/>
      <c r="Y1040" s="135"/>
      <c r="Z1040" s="135"/>
      <c r="AA1040" s="135"/>
      <c r="AB1040" s="135"/>
      <c r="AC1040" s="135"/>
    </row>
    <row r="1041" ht="15.75" customHeight="1">
      <c r="A1041" s="135"/>
      <c r="B1041" s="135"/>
      <c r="C1041" s="135"/>
      <c r="D1041" s="135"/>
      <c r="E1041" s="135"/>
      <c r="F1041" s="135"/>
      <c r="G1041" s="135"/>
      <c r="H1041" s="135"/>
      <c r="I1041" s="135"/>
      <c r="J1041" s="135"/>
      <c r="K1041" s="135"/>
      <c r="L1041" s="135"/>
      <c r="M1041" s="135"/>
      <c r="N1041" s="135"/>
      <c r="O1041" s="135"/>
      <c r="P1041" s="135"/>
      <c r="Q1041" s="135"/>
      <c r="R1041" s="135"/>
      <c r="S1041" s="135"/>
      <c r="T1041" s="135"/>
      <c r="U1041" s="135"/>
      <c r="V1041" s="135"/>
      <c r="W1041" s="135"/>
      <c r="X1041" s="135"/>
      <c r="Y1041" s="135"/>
      <c r="Z1041" s="135"/>
      <c r="AA1041" s="135"/>
      <c r="AB1041" s="135"/>
      <c r="AC1041" s="135"/>
    </row>
    <row r="1042" ht="15.75" customHeight="1">
      <c r="A1042" s="135"/>
      <c r="B1042" s="135"/>
      <c r="C1042" s="135"/>
      <c r="D1042" s="135"/>
      <c r="E1042" s="135"/>
      <c r="F1042" s="135"/>
      <c r="G1042" s="135"/>
      <c r="H1042" s="135"/>
      <c r="I1042" s="135"/>
      <c r="J1042" s="135"/>
      <c r="K1042" s="135"/>
      <c r="L1042" s="135"/>
      <c r="M1042" s="135"/>
      <c r="N1042" s="135"/>
      <c r="O1042" s="135"/>
      <c r="P1042" s="135"/>
      <c r="Q1042" s="135"/>
      <c r="R1042" s="135"/>
      <c r="S1042" s="135"/>
      <c r="T1042" s="135"/>
      <c r="U1042" s="135"/>
      <c r="V1042" s="135"/>
      <c r="W1042" s="135"/>
      <c r="X1042" s="135"/>
      <c r="Y1042" s="135"/>
      <c r="Z1042" s="135"/>
      <c r="AA1042" s="135"/>
      <c r="AB1042" s="135"/>
      <c r="AC1042" s="135"/>
    </row>
    <row r="1043" ht="15.75" customHeight="1">
      <c r="A1043" s="135"/>
      <c r="B1043" s="135"/>
      <c r="C1043" s="135"/>
      <c r="D1043" s="135"/>
      <c r="E1043" s="135"/>
      <c r="F1043" s="135"/>
      <c r="G1043" s="135"/>
      <c r="H1043" s="135"/>
      <c r="I1043" s="135"/>
      <c r="J1043" s="135"/>
      <c r="K1043" s="135"/>
      <c r="L1043" s="135"/>
      <c r="M1043" s="135"/>
      <c r="N1043" s="135"/>
      <c r="O1043" s="135"/>
      <c r="P1043" s="135"/>
      <c r="Q1043" s="135"/>
      <c r="R1043" s="135"/>
      <c r="S1043" s="135"/>
      <c r="T1043" s="135"/>
      <c r="U1043" s="135"/>
      <c r="V1043" s="135"/>
      <c r="W1043" s="135"/>
      <c r="X1043" s="135"/>
      <c r="Y1043" s="135"/>
      <c r="Z1043" s="135"/>
      <c r="AA1043" s="135"/>
      <c r="AB1043" s="135"/>
      <c r="AC1043" s="135"/>
    </row>
    <row r="1044" ht="15.75" customHeight="1">
      <c r="A1044" s="135"/>
      <c r="B1044" s="135"/>
      <c r="C1044" s="135"/>
      <c r="D1044" s="135"/>
      <c r="E1044" s="135"/>
      <c r="F1044" s="135"/>
      <c r="G1044" s="135"/>
      <c r="H1044" s="135"/>
      <c r="I1044" s="135"/>
      <c r="J1044" s="135"/>
      <c r="K1044" s="135"/>
      <c r="L1044" s="135"/>
      <c r="M1044" s="135"/>
      <c r="N1044" s="135"/>
      <c r="O1044" s="135"/>
      <c r="P1044" s="135"/>
      <c r="Q1044" s="135"/>
      <c r="R1044" s="135"/>
      <c r="S1044" s="135"/>
      <c r="T1044" s="135"/>
      <c r="U1044" s="135"/>
      <c r="V1044" s="135"/>
      <c r="W1044" s="135"/>
      <c r="X1044" s="135"/>
      <c r="Y1044" s="135"/>
      <c r="Z1044" s="135"/>
      <c r="AA1044" s="135"/>
      <c r="AB1044" s="135"/>
      <c r="AC1044" s="135"/>
    </row>
    <row r="1045" ht="15.75" customHeight="1">
      <c r="A1045" s="135"/>
      <c r="B1045" s="135"/>
      <c r="C1045" s="135"/>
      <c r="D1045" s="135"/>
      <c r="E1045" s="135"/>
      <c r="F1045" s="135"/>
      <c r="G1045" s="135"/>
      <c r="H1045" s="135"/>
      <c r="I1045" s="135"/>
      <c r="J1045" s="135"/>
      <c r="K1045" s="135"/>
      <c r="L1045" s="135"/>
      <c r="M1045" s="135"/>
      <c r="N1045" s="135"/>
      <c r="O1045" s="135"/>
      <c r="P1045" s="135"/>
      <c r="Q1045" s="135"/>
      <c r="R1045" s="135"/>
      <c r="S1045" s="135"/>
      <c r="T1045" s="135"/>
      <c r="U1045" s="135"/>
      <c r="V1045" s="135"/>
      <c r="W1045" s="135"/>
      <c r="X1045" s="135"/>
      <c r="Y1045" s="135"/>
      <c r="Z1045" s="135"/>
      <c r="AA1045" s="135"/>
      <c r="AB1045" s="135"/>
      <c r="AC1045" s="135"/>
    </row>
    <row r="1046" ht="15.75" customHeight="1">
      <c r="A1046" s="135"/>
      <c r="B1046" s="135"/>
      <c r="C1046" s="135"/>
      <c r="D1046" s="135"/>
      <c r="E1046" s="135"/>
      <c r="F1046" s="135"/>
      <c r="G1046" s="135"/>
      <c r="H1046" s="135"/>
      <c r="I1046" s="135"/>
      <c r="J1046" s="135"/>
      <c r="K1046" s="135"/>
      <c r="L1046" s="135"/>
      <c r="M1046" s="135"/>
      <c r="N1046" s="135"/>
      <c r="O1046" s="135"/>
      <c r="P1046" s="135"/>
      <c r="Q1046" s="135"/>
      <c r="R1046" s="135"/>
      <c r="S1046" s="135"/>
      <c r="T1046" s="135"/>
      <c r="U1046" s="135"/>
      <c r="V1046" s="135"/>
      <c r="W1046" s="135"/>
      <c r="X1046" s="135"/>
      <c r="Y1046" s="135"/>
      <c r="Z1046" s="135"/>
      <c r="AA1046" s="135"/>
      <c r="AB1046" s="135"/>
      <c r="AC1046" s="135"/>
    </row>
    <row r="1047" ht="15.75" customHeight="1">
      <c r="A1047" s="135"/>
      <c r="B1047" s="135"/>
      <c r="C1047" s="135"/>
      <c r="D1047" s="135"/>
      <c r="E1047" s="135"/>
      <c r="F1047" s="135"/>
      <c r="G1047" s="135"/>
      <c r="H1047" s="135"/>
      <c r="I1047" s="135"/>
      <c r="J1047" s="135"/>
      <c r="K1047" s="135"/>
      <c r="L1047" s="135"/>
      <c r="M1047" s="135"/>
      <c r="N1047" s="135"/>
      <c r="O1047" s="135"/>
      <c r="P1047" s="135"/>
      <c r="Q1047" s="135"/>
      <c r="R1047" s="135"/>
      <c r="S1047" s="135"/>
      <c r="T1047" s="135"/>
      <c r="U1047" s="135"/>
      <c r="V1047" s="135"/>
      <c r="W1047" s="135"/>
      <c r="X1047" s="135"/>
      <c r="Y1047" s="135"/>
      <c r="Z1047" s="135"/>
      <c r="AA1047" s="135"/>
      <c r="AB1047" s="135"/>
      <c r="AC1047" s="135"/>
    </row>
    <row r="1048" ht="15.75" customHeight="1">
      <c r="A1048" s="135"/>
      <c r="B1048" s="135"/>
      <c r="C1048" s="135"/>
      <c r="D1048" s="135"/>
      <c r="E1048" s="135"/>
      <c r="F1048" s="135"/>
      <c r="G1048" s="135"/>
      <c r="H1048" s="135"/>
      <c r="I1048" s="135"/>
      <c r="J1048" s="135"/>
      <c r="K1048" s="135"/>
      <c r="L1048" s="135"/>
      <c r="M1048" s="135"/>
      <c r="N1048" s="135"/>
      <c r="O1048" s="135"/>
      <c r="P1048" s="135"/>
      <c r="Q1048" s="135"/>
      <c r="R1048" s="135"/>
      <c r="S1048" s="135"/>
      <c r="T1048" s="135"/>
      <c r="U1048" s="135"/>
      <c r="V1048" s="135"/>
      <c r="W1048" s="135"/>
      <c r="X1048" s="135"/>
      <c r="Y1048" s="135"/>
      <c r="Z1048" s="135"/>
      <c r="AA1048" s="135"/>
      <c r="AB1048" s="135"/>
      <c r="AC1048" s="135"/>
    </row>
    <row r="1049" ht="15.75" customHeight="1">
      <c r="A1049" s="135"/>
      <c r="B1049" s="135"/>
      <c r="C1049" s="135"/>
      <c r="D1049" s="135"/>
      <c r="E1049" s="135"/>
      <c r="F1049" s="135"/>
      <c r="G1049" s="135"/>
      <c r="H1049" s="135"/>
      <c r="I1049" s="135"/>
      <c r="J1049" s="135"/>
      <c r="K1049" s="135"/>
      <c r="L1049" s="135"/>
      <c r="M1049" s="135"/>
      <c r="N1049" s="135"/>
      <c r="O1049" s="135"/>
      <c r="P1049" s="135"/>
      <c r="Q1049" s="135"/>
      <c r="R1049" s="135"/>
      <c r="S1049" s="135"/>
      <c r="T1049" s="135"/>
      <c r="U1049" s="135"/>
      <c r="V1049" s="135"/>
      <c r="W1049" s="135"/>
      <c r="X1049" s="135"/>
      <c r="Y1049" s="135"/>
      <c r="Z1049" s="135"/>
      <c r="AA1049" s="135"/>
      <c r="AB1049" s="135"/>
      <c r="AC1049" s="135"/>
    </row>
    <row r="1050" ht="15.75" customHeight="1">
      <c r="A1050" s="135"/>
      <c r="B1050" s="135"/>
      <c r="C1050" s="135"/>
      <c r="D1050" s="135"/>
      <c r="E1050" s="135"/>
      <c r="F1050" s="135"/>
      <c r="G1050" s="135"/>
      <c r="H1050" s="135"/>
      <c r="I1050" s="135"/>
      <c r="J1050" s="135"/>
      <c r="K1050" s="135"/>
      <c r="L1050" s="135"/>
      <c r="M1050" s="135"/>
      <c r="N1050" s="135"/>
      <c r="O1050" s="135"/>
      <c r="P1050" s="135"/>
      <c r="Q1050" s="135"/>
      <c r="R1050" s="135"/>
      <c r="S1050" s="135"/>
      <c r="T1050" s="135"/>
      <c r="U1050" s="135"/>
      <c r="V1050" s="135"/>
      <c r="W1050" s="135"/>
      <c r="X1050" s="135"/>
      <c r="Y1050" s="135"/>
      <c r="Z1050" s="135"/>
      <c r="AA1050" s="135"/>
      <c r="AB1050" s="135"/>
      <c r="AC1050" s="135"/>
    </row>
    <row r="1051" ht="15.75" customHeight="1">
      <c r="A1051" s="135"/>
      <c r="B1051" s="135"/>
      <c r="C1051" s="135"/>
      <c r="D1051" s="135"/>
      <c r="E1051" s="135"/>
      <c r="F1051" s="135"/>
      <c r="G1051" s="135"/>
      <c r="H1051" s="135"/>
      <c r="I1051" s="135"/>
      <c r="J1051" s="135"/>
      <c r="K1051" s="135"/>
      <c r="L1051" s="135"/>
      <c r="M1051" s="135"/>
      <c r="N1051" s="135"/>
      <c r="O1051" s="135"/>
      <c r="P1051" s="135"/>
      <c r="Q1051" s="135"/>
      <c r="R1051" s="135"/>
      <c r="S1051" s="135"/>
      <c r="T1051" s="135"/>
      <c r="U1051" s="135"/>
      <c r="V1051" s="135"/>
      <c r="W1051" s="135"/>
      <c r="X1051" s="135"/>
      <c r="Y1051" s="135"/>
      <c r="Z1051" s="135"/>
      <c r="AA1051" s="135"/>
      <c r="AB1051" s="135"/>
      <c r="AC1051" s="135"/>
    </row>
    <row r="1052" ht="15.75" customHeight="1">
      <c r="A1052" s="135"/>
      <c r="B1052" s="135"/>
      <c r="C1052" s="135"/>
      <c r="D1052" s="135"/>
      <c r="E1052" s="135"/>
      <c r="F1052" s="135"/>
      <c r="G1052" s="135"/>
      <c r="H1052" s="135"/>
      <c r="I1052" s="135"/>
      <c r="J1052" s="135"/>
      <c r="K1052" s="135"/>
      <c r="L1052" s="135"/>
      <c r="M1052" s="135"/>
      <c r="N1052" s="135"/>
      <c r="O1052" s="135"/>
      <c r="P1052" s="135"/>
      <c r="Q1052" s="135"/>
      <c r="R1052" s="135"/>
      <c r="S1052" s="135"/>
      <c r="T1052" s="135"/>
      <c r="U1052" s="135"/>
      <c r="V1052" s="135"/>
      <c r="W1052" s="135"/>
      <c r="X1052" s="135"/>
      <c r="Y1052" s="135"/>
      <c r="Z1052" s="135"/>
      <c r="AA1052" s="135"/>
      <c r="AB1052" s="135"/>
      <c r="AC1052" s="135"/>
    </row>
    <row r="1053" ht="15.75" customHeight="1">
      <c r="A1053" s="135"/>
      <c r="B1053" s="135"/>
      <c r="C1053" s="135"/>
      <c r="D1053" s="135"/>
      <c r="E1053" s="135"/>
      <c r="F1053" s="135"/>
      <c r="G1053" s="135"/>
      <c r="H1053" s="135"/>
      <c r="I1053" s="135"/>
      <c r="J1053" s="135"/>
      <c r="K1053" s="135"/>
      <c r="L1053" s="135"/>
      <c r="M1053" s="135"/>
      <c r="N1053" s="135"/>
      <c r="O1053" s="135"/>
      <c r="P1053" s="135"/>
      <c r="Q1053" s="135"/>
      <c r="R1053" s="135"/>
      <c r="S1053" s="135"/>
      <c r="T1053" s="135"/>
      <c r="U1053" s="135"/>
      <c r="V1053" s="135"/>
      <c r="W1053" s="135"/>
      <c r="X1053" s="135"/>
      <c r="Y1053" s="135"/>
      <c r="Z1053" s="135"/>
      <c r="AA1053" s="135"/>
      <c r="AB1053" s="135"/>
      <c r="AC1053" s="135"/>
    </row>
    <row r="1054" ht="15.75" customHeight="1">
      <c r="A1054" s="135"/>
      <c r="B1054" s="135"/>
      <c r="C1054" s="135"/>
      <c r="D1054" s="135"/>
      <c r="E1054" s="135"/>
      <c r="F1054" s="135"/>
      <c r="G1054" s="135"/>
      <c r="H1054" s="135"/>
      <c r="I1054" s="135"/>
      <c r="J1054" s="135"/>
      <c r="K1054" s="135"/>
      <c r="L1054" s="135"/>
      <c r="M1054" s="135"/>
      <c r="N1054" s="135"/>
      <c r="O1054" s="135"/>
      <c r="P1054" s="135"/>
      <c r="Q1054" s="135"/>
      <c r="R1054" s="135"/>
      <c r="S1054" s="135"/>
      <c r="T1054" s="135"/>
      <c r="U1054" s="135"/>
      <c r="V1054" s="135"/>
      <c r="W1054" s="135"/>
      <c r="X1054" s="135"/>
      <c r="Y1054" s="135"/>
      <c r="Z1054" s="135"/>
      <c r="AA1054" s="135"/>
      <c r="AB1054" s="135"/>
      <c r="AC1054" s="135"/>
    </row>
    <row r="1055" ht="15.75" customHeight="1">
      <c r="A1055" s="135"/>
      <c r="B1055" s="135"/>
      <c r="C1055" s="135"/>
      <c r="D1055" s="135"/>
      <c r="E1055" s="135"/>
      <c r="F1055" s="135"/>
      <c r="G1055" s="135"/>
      <c r="H1055" s="135"/>
      <c r="I1055" s="135"/>
      <c r="J1055" s="135"/>
      <c r="K1055" s="135"/>
      <c r="L1055" s="135"/>
      <c r="M1055" s="135"/>
      <c r="N1055" s="135"/>
      <c r="O1055" s="135"/>
      <c r="P1055" s="135"/>
      <c r="Q1055" s="135"/>
      <c r="R1055" s="135"/>
      <c r="S1055" s="135"/>
      <c r="T1055" s="135"/>
      <c r="U1055" s="135"/>
      <c r="V1055" s="135"/>
      <c r="W1055" s="135"/>
      <c r="X1055" s="135"/>
      <c r="Y1055" s="135"/>
      <c r="Z1055" s="135"/>
      <c r="AA1055" s="135"/>
      <c r="AB1055" s="135"/>
      <c r="AC1055" s="135"/>
    </row>
    <row r="1056" ht="15.75" customHeight="1">
      <c r="A1056" s="135"/>
      <c r="B1056" s="135"/>
      <c r="C1056" s="135"/>
      <c r="D1056" s="135"/>
      <c r="E1056" s="135"/>
      <c r="F1056" s="135"/>
      <c r="G1056" s="135"/>
      <c r="H1056" s="135"/>
      <c r="I1056" s="135"/>
      <c r="J1056" s="135"/>
      <c r="K1056" s="135"/>
      <c r="L1056" s="135"/>
      <c r="M1056" s="135"/>
      <c r="N1056" s="135"/>
      <c r="O1056" s="135"/>
      <c r="P1056" s="135"/>
      <c r="Q1056" s="135"/>
      <c r="R1056" s="135"/>
      <c r="S1056" s="135"/>
      <c r="T1056" s="135"/>
      <c r="U1056" s="135"/>
      <c r="V1056" s="135"/>
      <c r="W1056" s="135"/>
      <c r="X1056" s="135"/>
      <c r="Y1056" s="135"/>
      <c r="Z1056" s="135"/>
      <c r="AA1056" s="135"/>
      <c r="AB1056" s="135"/>
      <c r="AC1056" s="135"/>
    </row>
    <row r="1057" ht="15.75" customHeight="1">
      <c r="A1057" s="135"/>
      <c r="B1057" s="135"/>
      <c r="C1057" s="135"/>
      <c r="D1057" s="135"/>
      <c r="E1057" s="135"/>
      <c r="F1057" s="135"/>
      <c r="G1057" s="135"/>
      <c r="H1057" s="135"/>
      <c r="I1057" s="135"/>
      <c r="J1057" s="135"/>
      <c r="K1057" s="135"/>
      <c r="L1057" s="135"/>
      <c r="M1057" s="135"/>
      <c r="N1057" s="135"/>
      <c r="O1057" s="135"/>
      <c r="P1057" s="135"/>
      <c r="Q1057" s="135"/>
      <c r="R1057" s="135"/>
      <c r="S1057" s="135"/>
      <c r="T1057" s="135"/>
      <c r="U1057" s="135"/>
      <c r="V1057" s="135"/>
      <c r="W1057" s="135"/>
      <c r="X1057" s="135"/>
      <c r="Y1057" s="135"/>
      <c r="Z1057" s="135"/>
      <c r="AA1057" s="135"/>
      <c r="AB1057" s="135"/>
      <c r="AC1057" s="135"/>
    </row>
    <row r="1058" ht="15.75" customHeight="1">
      <c r="A1058" s="135"/>
      <c r="B1058" s="135"/>
      <c r="C1058" s="135"/>
      <c r="D1058" s="135"/>
      <c r="E1058" s="135"/>
      <c r="F1058" s="135"/>
      <c r="G1058" s="135"/>
      <c r="H1058" s="135"/>
      <c r="I1058" s="135"/>
      <c r="J1058" s="135"/>
      <c r="K1058" s="135"/>
      <c r="L1058" s="135"/>
      <c r="M1058" s="135"/>
      <c r="N1058" s="135"/>
      <c r="O1058" s="135"/>
      <c r="P1058" s="135"/>
      <c r="Q1058" s="135"/>
      <c r="R1058" s="135"/>
      <c r="S1058" s="135"/>
      <c r="T1058" s="135"/>
      <c r="U1058" s="135"/>
      <c r="V1058" s="135"/>
      <c r="W1058" s="135"/>
      <c r="X1058" s="135"/>
      <c r="Y1058" s="135"/>
      <c r="Z1058" s="135"/>
      <c r="AA1058" s="135"/>
      <c r="AB1058" s="135"/>
      <c r="AC1058" s="135"/>
    </row>
    <row r="1059" ht="15.75" customHeight="1">
      <c r="A1059" s="135"/>
      <c r="B1059" s="135"/>
      <c r="C1059" s="135"/>
      <c r="D1059" s="135"/>
      <c r="E1059" s="135"/>
      <c r="F1059" s="135"/>
      <c r="G1059" s="135"/>
      <c r="H1059" s="135"/>
      <c r="I1059" s="135"/>
      <c r="J1059" s="135"/>
      <c r="K1059" s="135"/>
      <c r="L1059" s="135"/>
      <c r="M1059" s="135"/>
      <c r="N1059" s="135"/>
      <c r="O1059" s="135"/>
      <c r="P1059" s="135"/>
      <c r="Q1059" s="135"/>
      <c r="R1059" s="135"/>
      <c r="S1059" s="135"/>
      <c r="T1059" s="135"/>
      <c r="U1059" s="135"/>
      <c r="V1059" s="135"/>
      <c r="W1059" s="135"/>
      <c r="X1059" s="135"/>
      <c r="Y1059" s="135"/>
      <c r="Z1059" s="135"/>
      <c r="AA1059" s="135"/>
      <c r="AB1059" s="135"/>
      <c r="AC1059" s="135"/>
    </row>
    <row r="1060" ht="15.75" customHeight="1">
      <c r="A1060" s="135"/>
      <c r="B1060" s="135"/>
      <c r="C1060" s="135"/>
      <c r="D1060" s="135"/>
      <c r="E1060" s="135"/>
      <c r="F1060" s="135"/>
      <c r="G1060" s="135"/>
      <c r="H1060" s="135"/>
      <c r="I1060" s="135"/>
      <c r="J1060" s="135"/>
      <c r="K1060" s="135"/>
      <c r="L1060" s="135"/>
      <c r="M1060" s="135"/>
      <c r="N1060" s="135"/>
      <c r="O1060" s="135"/>
      <c r="P1060" s="135"/>
      <c r="Q1060" s="135"/>
      <c r="R1060" s="135"/>
      <c r="S1060" s="135"/>
      <c r="T1060" s="135"/>
      <c r="U1060" s="135"/>
      <c r="V1060" s="135"/>
      <c r="W1060" s="135"/>
      <c r="X1060" s="135"/>
      <c r="Y1060" s="135"/>
      <c r="Z1060" s="135"/>
      <c r="AA1060" s="135"/>
      <c r="AB1060" s="135"/>
      <c r="AC1060" s="135"/>
    </row>
    <row r="1061" ht="15.75" customHeight="1">
      <c r="A1061" s="135"/>
      <c r="B1061" s="135"/>
      <c r="C1061" s="135"/>
      <c r="D1061" s="135"/>
      <c r="E1061" s="135"/>
      <c r="F1061" s="135"/>
      <c r="G1061" s="135"/>
      <c r="H1061" s="135"/>
      <c r="I1061" s="135"/>
      <c r="J1061" s="135"/>
      <c r="K1061" s="135"/>
      <c r="L1061" s="135"/>
      <c r="M1061" s="135"/>
      <c r="N1061" s="135"/>
      <c r="O1061" s="135"/>
      <c r="P1061" s="135"/>
      <c r="Q1061" s="135"/>
      <c r="R1061" s="135"/>
      <c r="S1061" s="135"/>
      <c r="T1061" s="135"/>
      <c r="U1061" s="135"/>
      <c r="V1061" s="135"/>
      <c r="W1061" s="135"/>
      <c r="X1061" s="135"/>
      <c r="Y1061" s="135"/>
      <c r="Z1061" s="135"/>
      <c r="AA1061" s="135"/>
      <c r="AB1061" s="135"/>
      <c r="AC1061" s="135"/>
    </row>
    <row r="1062" ht="15.75" customHeight="1">
      <c r="A1062" s="135"/>
      <c r="B1062" s="135"/>
      <c r="C1062" s="135"/>
      <c r="D1062" s="135"/>
      <c r="E1062" s="135"/>
      <c r="F1062" s="135"/>
      <c r="G1062" s="135"/>
      <c r="H1062" s="135"/>
      <c r="I1062" s="135"/>
      <c r="J1062" s="135"/>
      <c r="K1062" s="135"/>
      <c r="L1062" s="135"/>
      <c r="M1062" s="135"/>
      <c r="N1062" s="135"/>
      <c r="O1062" s="135"/>
      <c r="P1062" s="135"/>
      <c r="Q1062" s="135"/>
      <c r="R1062" s="135"/>
      <c r="S1062" s="135"/>
      <c r="T1062" s="135"/>
      <c r="U1062" s="135"/>
      <c r="V1062" s="135"/>
      <c r="W1062" s="135"/>
      <c r="X1062" s="135"/>
      <c r="Y1062" s="135"/>
      <c r="Z1062" s="135"/>
      <c r="AA1062" s="135"/>
      <c r="AB1062" s="135"/>
      <c r="AC1062" s="135"/>
    </row>
    <row r="1063" ht="15.75" customHeight="1">
      <c r="A1063" s="135"/>
      <c r="B1063" s="135"/>
      <c r="C1063" s="135"/>
      <c r="D1063" s="135"/>
      <c r="E1063" s="135"/>
      <c r="F1063" s="135"/>
      <c r="G1063" s="135"/>
      <c r="H1063" s="135"/>
      <c r="I1063" s="135"/>
      <c r="J1063" s="135"/>
      <c r="K1063" s="135"/>
      <c r="L1063" s="135"/>
      <c r="M1063" s="135"/>
      <c r="N1063" s="135"/>
      <c r="O1063" s="135"/>
      <c r="P1063" s="135"/>
      <c r="Q1063" s="135"/>
      <c r="R1063" s="135"/>
      <c r="S1063" s="135"/>
      <c r="T1063" s="135"/>
      <c r="U1063" s="135"/>
      <c r="V1063" s="135"/>
      <c r="W1063" s="135"/>
      <c r="X1063" s="135"/>
      <c r="Y1063" s="135"/>
      <c r="Z1063" s="135"/>
      <c r="AA1063" s="135"/>
      <c r="AB1063" s="135"/>
      <c r="AC1063" s="135"/>
    </row>
    <row r="1064" ht="15.75" customHeight="1">
      <c r="A1064" s="135"/>
      <c r="B1064" s="135"/>
      <c r="C1064" s="135"/>
      <c r="D1064" s="135"/>
      <c r="E1064" s="135"/>
      <c r="F1064" s="135"/>
      <c r="G1064" s="135"/>
      <c r="H1064" s="135"/>
      <c r="I1064" s="135"/>
      <c r="J1064" s="135"/>
      <c r="K1064" s="135"/>
      <c r="L1064" s="135"/>
      <c r="M1064" s="135"/>
      <c r="N1064" s="135"/>
      <c r="O1064" s="135"/>
      <c r="P1064" s="135"/>
      <c r="Q1064" s="135"/>
      <c r="R1064" s="135"/>
      <c r="S1064" s="135"/>
      <c r="T1064" s="135"/>
      <c r="U1064" s="135"/>
      <c r="V1064" s="135"/>
      <c r="W1064" s="135"/>
      <c r="X1064" s="135"/>
      <c r="Y1064" s="135"/>
      <c r="Z1064" s="135"/>
      <c r="AA1064" s="135"/>
      <c r="AB1064" s="135"/>
      <c r="AC1064" s="135"/>
    </row>
    <row r="1065" ht="15.75" customHeight="1">
      <c r="A1065" s="135"/>
      <c r="B1065" s="135"/>
      <c r="C1065" s="135"/>
      <c r="D1065" s="135"/>
      <c r="E1065" s="135"/>
      <c r="F1065" s="135"/>
      <c r="G1065" s="135"/>
      <c r="H1065" s="135"/>
      <c r="I1065" s="135"/>
      <c r="J1065" s="135"/>
      <c r="K1065" s="135"/>
      <c r="L1065" s="135"/>
      <c r="M1065" s="135"/>
      <c r="N1065" s="135"/>
      <c r="O1065" s="135"/>
      <c r="P1065" s="135"/>
      <c r="Q1065" s="135"/>
      <c r="R1065" s="135"/>
      <c r="S1065" s="135"/>
      <c r="T1065" s="135"/>
      <c r="U1065" s="135"/>
      <c r="V1065" s="135"/>
      <c r="W1065" s="135"/>
      <c r="X1065" s="135"/>
      <c r="Y1065" s="135"/>
      <c r="Z1065" s="135"/>
      <c r="AA1065" s="135"/>
      <c r="AB1065" s="135"/>
      <c r="AC1065" s="135"/>
    </row>
    <row r="1066" ht="15.75" customHeight="1">
      <c r="A1066" s="135"/>
      <c r="B1066" s="135"/>
      <c r="C1066" s="135"/>
      <c r="D1066" s="135"/>
      <c r="E1066" s="135"/>
      <c r="F1066" s="135"/>
      <c r="G1066" s="135"/>
      <c r="H1066" s="135"/>
      <c r="I1066" s="135"/>
      <c r="J1066" s="135"/>
      <c r="K1066" s="135"/>
      <c r="L1066" s="135"/>
      <c r="M1066" s="135"/>
      <c r="N1066" s="135"/>
      <c r="O1066" s="135"/>
      <c r="P1066" s="135"/>
      <c r="Q1066" s="135"/>
      <c r="R1066" s="135"/>
      <c r="S1066" s="135"/>
      <c r="T1066" s="135"/>
      <c r="U1066" s="135"/>
      <c r="V1066" s="135"/>
      <c r="W1066" s="135"/>
      <c r="X1066" s="135"/>
      <c r="Y1066" s="135"/>
      <c r="Z1066" s="135"/>
      <c r="AA1066" s="135"/>
      <c r="AB1066" s="135"/>
      <c r="AC1066" s="135"/>
    </row>
    <row r="1067" ht="15.75" customHeight="1">
      <c r="A1067" s="135"/>
      <c r="B1067" s="135"/>
      <c r="C1067" s="135"/>
      <c r="D1067" s="135"/>
      <c r="E1067" s="135"/>
      <c r="F1067" s="135"/>
      <c r="G1067" s="135"/>
      <c r="H1067" s="135"/>
      <c r="I1067" s="135"/>
      <c r="J1067" s="135"/>
      <c r="K1067" s="135"/>
      <c r="L1067" s="135"/>
      <c r="M1067" s="135"/>
      <c r="N1067" s="135"/>
      <c r="O1067" s="135"/>
      <c r="P1067" s="135"/>
      <c r="Q1067" s="135"/>
      <c r="R1067" s="135"/>
      <c r="S1067" s="135"/>
      <c r="T1067" s="135"/>
      <c r="U1067" s="135"/>
      <c r="V1067" s="135"/>
      <c r="W1067" s="135"/>
      <c r="X1067" s="135"/>
      <c r="Y1067" s="135"/>
      <c r="Z1067" s="135"/>
      <c r="AA1067" s="135"/>
      <c r="AB1067" s="135"/>
      <c r="AC1067" s="135"/>
    </row>
    <row r="1068" ht="15.75" customHeight="1">
      <c r="A1068" s="135"/>
      <c r="B1068" s="135"/>
      <c r="C1068" s="135"/>
      <c r="D1068" s="135"/>
      <c r="E1068" s="135"/>
      <c r="F1068" s="135"/>
      <c r="G1068" s="135"/>
      <c r="H1068" s="135"/>
      <c r="I1068" s="135"/>
      <c r="J1068" s="135"/>
      <c r="K1068" s="135"/>
      <c r="L1068" s="135"/>
      <c r="M1068" s="135"/>
      <c r="N1068" s="135"/>
      <c r="O1068" s="135"/>
      <c r="P1068" s="135"/>
      <c r="Q1068" s="135"/>
      <c r="R1068" s="135"/>
      <c r="S1068" s="135"/>
      <c r="T1068" s="135"/>
      <c r="U1068" s="135"/>
      <c r="V1068" s="135"/>
      <c r="W1068" s="135"/>
      <c r="X1068" s="135"/>
      <c r="Y1068" s="135"/>
      <c r="Z1068" s="135"/>
      <c r="AA1068" s="135"/>
      <c r="AB1068" s="135"/>
      <c r="AC1068" s="135"/>
    </row>
    <row r="1069" ht="15.75" customHeight="1">
      <c r="A1069" s="135"/>
      <c r="B1069" s="135"/>
      <c r="C1069" s="135"/>
      <c r="D1069" s="135"/>
      <c r="E1069" s="135"/>
      <c r="F1069" s="135"/>
      <c r="G1069" s="135"/>
      <c r="H1069" s="135"/>
      <c r="I1069" s="135"/>
      <c r="J1069" s="135"/>
      <c r="K1069" s="135"/>
      <c r="L1069" s="135"/>
      <c r="M1069" s="135"/>
      <c r="N1069" s="135"/>
      <c r="O1069" s="135"/>
      <c r="P1069" s="135"/>
      <c r="Q1069" s="135"/>
      <c r="R1069" s="135"/>
      <c r="S1069" s="135"/>
      <c r="T1069" s="135"/>
      <c r="U1069" s="135"/>
      <c r="V1069" s="135"/>
      <c r="W1069" s="135"/>
      <c r="X1069" s="135"/>
      <c r="Y1069" s="135"/>
      <c r="Z1069" s="135"/>
      <c r="AA1069" s="135"/>
      <c r="AB1069" s="135"/>
      <c r="AC1069" s="135"/>
    </row>
    <row r="1070" ht="15.75" customHeight="1">
      <c r="A1070" s="135"/>
      <c r="B1070" s="135"/>
      <c r="C1070" s="135"/>
      <c r="D1070" s="135"/>
      <c r="E1070" s="135"/>
      <c r="F1070" s="135"/>
      <c r="G1070" s="135"/>
      <c r="H1070" s="135"/>
      <c r="I1070" s="135"/>
      <c r="J1070" s="135"/>
      <c r="K1070" s="135"/>
      <c r="L1070" s="135"/>
      <c r="M1070" s="135"/>
      <c r="N1070" s="135"/>
      <c r="O1070" s="135"/>
      <c r="P1070" s="135"/>
      <c r="Q1070" s="135"/>
      <c r="R1070" s="135"/>
      <c r="S1070" s="135"/>
      <c r="T1070" s="135"/>
      <c r="U1070" s="135"/>
      <c r="V1070" s="135"/>
      <c r="W1070" s="135"/>
      <c r="X1070" s="135"/>
      <c r="Y1070" s="135"/>
      <c r="Z1070" s="135"/>
      <c r="AA1070" s="135"/>
      <c r="AB1070" s="135"/>
      <c r="AC1070" s="135"/>
    </row>
    <row r="1071" ht="15.75" customHeight="1">
      <c r="A1071" s="135"/>
      <c r="B1071" s="135"/>
      <c r="C1071" s="135"/>
      <c r="D1071" s="135"/>
      <c r="E1071" s="135"/>
      <c r="F1071" s="135"/>
      <c r="G1071" s="135"/>
      <c r="H1071" s="135"/>
      <c r="I1071" s="135"/>
      <c r="J1071" s="135"/>
      <c r="K1071" s="135"/>
      <c r="L1071" s="135"/>
      <c r="M1071" s="135"/>
      <c r="N1071" s="135"/>
      <c r="O1071" s="135"/>
      <c r="P1071" s="135"/>
      <c r="Q1071" s="135"/>
      <c r="R1071" s="135"/>
      <c r="S1071" s="135"/>
      <c r="T1071" s="135"/>
      <c r="U1071" s="135"/>
      <c r="V1071" s="135"/>
      <c r="W1071" s="135"/>
      <c r="X1071" s="135"/>
      <c r="Y1071" s="135"/>
      <c r="Z1071" s="135"/>
      <c r="AA1071" s="135"/>
      <c r="AB1071" s="135"/>
      <c r="AC1071" s="135"/>
    </row>
    <row r="1072" ht="15.75" customHeight="1">
      <c r="A1072" s="135"/>
      <c r="B1072" s="135"/>
      <c r="C1072" s="135"/>
      <c r="D1072" s="135"/>
      <c r="E1072" s="135"/>
      <c r="F1072" s="135"/>
      <c r="G1072" s="135"/>
      <c r="H1072" s="135"/>
      <c r="I1072" s="135"/>
      <c r="J1072" s="135"/>
      <c r="K1072" s="135"/>
      <c r="L1072" s="135"/>
      <c r="M1072" s="135"/>
      <c r="N1072" s="135"/>
      <c r="O1072" s="135"/>
      <c r="P1072" s="135"/>
      <c r="Q1072" s="135"/>
      <c r="R1072" s="135"/>
      <c r="S1072" s="135"/>
      <c r="T1072" s="135"/>
      <c r="U1072" s="135"/>
      <c r="V1072" s="135"/>
      <c r="W1072" s="135"/>
      <c r="X1072" s="135"/>
      <c r="Y1072" s="135"/>
      <c r="Z1072" s="135"/>
      <c r="AA1072" s="135"/>
      <c r="AB1072" s="135"/>
      <c r="AC1072" s="135"/>
    </row>
    <row r="1073" ht="15.75" customHeight="1">
      <c r="A1073" s="135"/>
      <c r="B1073" s="135"/>
      <c r="C1073" s="135"/>
      <c r="D1073" s="135"/>
      <c r="E1073" s="135"/>
      <c r="F1073" s="135"/>
      <c r="G1073" s="135"/>
      <c r="H1073" s="135"/>
      <c r="I1073" s="135"/>
      <c r="J1073" s="135"/>
      <c r="K1073" s="135"/>
      <c r="L1073" s="135"/>
      <c r="M1073" s="135"/>
      <c r="N1073" s="135"/>
      <c r="O1073" s="135"/>
      <c r="P1073" s="135"/>
      <c r="Q1073" s="135"/>
      <c r="R1073" s="135"/>
      <c r="S1073" s="135"/>
      <c r="T1073" s="135"/>
      <c r="U1073" s="135"/>
      <c r="V1073" s="135"/>
      <c r="W1073" s="135"/>
      <c r="X1073" s="135"/>
      <c r="Y1073" s="135"/>
      <c r="Z1073" s="135"/>
      <c r="AA1073" s="135"/>
      <c r="AB1073" s="135"/>
      <c r="AC1073" s="135"/>
    </row>
    <row r="1074" ht="15.75" customHeight="1">
      <c r="A1074" s="135"/>
      <c r="B1074" s="135"/>
      <c r="C1074" s="135"/>
      <c r="D1074" s="135"/>
      <c r="E1074" s="135"/>
      <c r="F1074" s="135"/>
      <c r="G1074" s="135"/>
      <c r="H1074" s="135"/>
      <c r="I1074" s="135"/>
      <c r="J1074" s="135"/>
      <c r="K1074" s="135"/>
      <c r="L1074" s="135"/>
      <c r="M1074" s="135"/>
      <c r="N1074" s="135"/>
      <c r="O1074" s="135"/>
      <c r="P1074" s="135"/>
      <c r="Q1074" s="135"/>
      <c r="R1074" s="135"/>
      <c r="S1074" s="135"/>
      <c r="T1074" s="135"/>
      <c r="U1074" s="135"/>
      <c r="V1074" s="135"/>
      <c r="W1074" s="135"/>
      <c r="X1074" s="135"/>
      <c r="Y1074" s="135"/>
      <c r="Z1074" s="135"/>
      <c r="AA1074" s="135"/>
      <c r="AB1074" s="135"/>
      <c r="AC1074" s="135"/>
    </row>
    <row r="1075" ht="15.75" customHeight="1">
      <c r="A1075" s="135"/>
      <c r="B1075" s="135"/>
      <c r="C1075" s="135"/>
      <c r="D1075" s="135"/>
      <c r="E1075" s="135"/>
      <c r="F1075" s="135"/>
      <c r="G1075" s="135"/>
      <c r="H1075" s="135"/>
      <c r="I1075" s="135"/>
      <c r="J1075" s="135"/>
      <c r="K1075" s="135"/>
      <c r="L1075" s="135"/>
      <c r="M1075" s="135"/>
      <c r="N1075" s="135"/>
      <c r="O1075" s="135"/>
      <c r="P1075" s="135"/>
      <c r="Q1075" s="135"/>
      <c r="R1075" s="135"/>
      <c r="S1075" s="135"/>
      <c r="T1075" s="135"/>
      <c r="U1075" s="135"/>
      <c r="V1075" s="135"/>
      <c r="W1075" s="135"/>
      <c r="X1075" s="135"/>
      <c r="Y1075" s="135"/>
      <c r="Z1075" s="135"/>
      <c r="AA1075" s="135"/>
      <c r="AB1075" s="135"/>
      <c r="AC1075" s="135"/>
    </row>
  </sheetData>
  <mergeCells count="94">
    <mergeCell ref="R39:S39"/>
    <mergeCell ref="T39:U39"/>
    <mergeCell ref="R40:S40"/>
    <mergeCell ref="T40:U40"/>
    <mergeCell ref="R41:S41"/>
    <mergeCell ref="T41:U41"/>
    <mergeCell ref="T42:U42"/>
    <mergeCell ref="Y48:AB48"/>
    <mergeCell ref="Y49:AB49"/>
    <mergeCell ref="R42:S42"/>
    <mergeCell ref="R43:S43"/>
    <mergeCell ref="O45:O46"/>
    <mergeCell ref="R45:S45"/>
    <mergeCell ref="R46:S46"/>
    <mergeCell ref="R47:S47"/>
    <mergeCell ref="R48:S48"/>
    <mergeCell ref="T50:U50"/>
    <mergeCell ref="T51:U51"/>
    <mergeCell ref="T52:U52"/>
    <mergeCell ref="T53:U53"/>
    <mergeCell ref="T54:U54"/>
    <mergeCell ref="T55:U55"/>
    <mergeCell ref="T56:U56"/>
    <mergeCell ref="T43:U43"/>
    <mergeCell ref="T45:U45"/>
    <mergeCell ref="V45:V46"/>
    <mergeCell ref="T46:U46"/>
    <mergeCell ref="T47:U47"/>
    <mergeCell ref="T48:U48"/>
    <mergeCell ref="T49:U49"/>
    <mergeCell ref="R49:S49"/>
    <mergeCell ref="R50:S50"/>
    <mergeCell ref="R51:S51"/>
    <mergeCell ref="R52:S52"/>
    <mergeCell ref="R53:S53"/>
    <mergeCell ref="R54:S54"/>
    <mergeCell ref="R55:S55"/>
    <mergeCell ref="J102:K102"/>
    <mergeCell ref="J103:K103"/>
    <mergeCell ref="B110:G110"/>
    <mergeCell ref="D111:E111"/>
    <mergeCell ref="F111:G111"/>
    <mergeCell ref="B123:G123"/>
    <mergeCell ref="D124:E124"/>
    <mergeCell ref="F124:G124"/>
    <mergeCell ref="R56:S56"/>
    <mergeCell ref="F101:G101"/>
    <mergeCell ref="J101:K101"/>
    <mergeCell ref="L101:M101"/>
    <mergeCell ref="F102:G102"/>
    <mergeCell ref="L102:M102"/>
    <mergeCell ref="F103:G103"/>
    <mergeCell ref="L103:M103"/>
    <mergeCell ref="A1:G4"/>
    <mergeCell ref="H5:J5"/>
    <mergeCell ref="H6:J6"/>
    <mergeCell ref="B8:G8"/>
    <mergeCell ref="H8:M8"/>
    <mergeCell ref="D9:E9"/>
    <mergeCell ref="F9:G9"/>
    <mergeCell ref="J9:K9"/>
    <mergeCell ref="L9:M9"/>
    <mergeCell ref="O9:O10"/>
    <mergeCell ref="R9:S9"/>
    <mergeCell ref="T9:U9"/>
    <mergeCell ref="V9:V10"/>
    <mergeCell ref="O14:O15"/>
    <mergeCell ref="V14:V15"/>
    <mergeCell ref="P29:S29"/>
    <mergeCell ref="T29:U29"/>
    <mergeCell ref="O29:O30"/>
    <mergeCell ref="P30:Q30"/>
    <mergeCell ref="O36:O37"/>
    <mergeCell ref="R14:S14"/>
    <mergeCell ref="T14:U14"/>
    <mergeCell ref="O22:O23"/>
    <mergeCell ref="R22:S22"/>
    <mergeCell ref="T22:U22"/>
    <mergeCell ref="V22:V23"/>
    <mergeCell ref="V29:V30"/>
    <mergeCell ref="R30:S30"/>
    <mergeCell ref="P31:S31"/>
    <mergeCell ref="T31:U31"/>
    <mergeCell ref="P32:S32"/>
    <mergeCell ref="T32:U32"/>
    <mergeCell ref="P33:S33"/>
    <mergeCell ref="T33:U33"/>
    <mergeCell ref="P34:S34"/>
    <mergeCell ref="T34:U34"/>
    <mergeCell ref="R36:S36"/>
    <mergeCell ref="T36:U36"/>
    <mergeCell ref="V36:V37"/>
    <mergeCell ref="R38:S38"/>
    <mergeCell ref="T38:U3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3" width="10.0"/>
    <col customWidth="1" min="4" max="4" width="21.0"/>
    <col customWidth="1" min="5" max="5" width="10.0"/>
    <col customWidth="1" min="6" max="6" width="17.71"/>
    <col customWidth="1" min="7" max="7" width="21.29"/>
    <col customWidth="1" min="8" max="9" width="10.0"/>
    <col customWidth="1" min="10" max="10" width="33.43"/>
    <col customWidth="1" min="11" max="26" width="10.0"/>
  </cols>
  <sheetData>
    <row r="1">
      <c r="A1" s="137" t="s">
        <v>227</v>
      </c>
      <c r="B1" s="2"/>
      <c r="C1" s="2"/>
      <c r="D1" s="2"/>
      <c r="E1" s="2"/>
      <c r="F1" s="2"/>
      <c r="G1" s="2"/>
      <c r="H1" s="2"/>
      <c r="I1" s="2"/>
      <c r="J1" s="2"/>
      <c r="K1" s="3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5"/>
      <c r="K2" s="26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25"/>
      <c r="K3" s="26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6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8.75" customHeight="1">
      <c r="A6" s="38" t="s">
        <v>228</v>
      </c>
      <c r="B6" s="31"/>
      <c r="C6" s="31"/>
      <c r="D6" s="31"/>
      <c r="E6" s="31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38"/>
      <c r="B7" s="32" t="s">
        <v>133</v>
      </c>
      <c r="C7" s="32" t="s">
        <v>134</v>
      </c>
      <c r="D7" s="35" t="s">
        <v>229</v>
      </c>
      <c r="E7" s="32" t="s">
        <v>230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5" t="s">
        <v>231</v>
      </c>
      <c r="B8" s="139">
        <v>1.0</v>
      </c>
      <c r="C8" s="139">
        <v>8.0</v>
      </c>
      <c r="D8" s="35">
        <v>17.0</v>
      </c>
      <c r="E8" s="139">
        <v>35.5</v>
      </c>
      <c r="F8" s="29"/>
      <c r="G8" s="48" t="s">
        <v>232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8.75" customHeight="1">
      <c r="A10" s="38" t="s">
        <v>233</v>
      </c>
      <c r="B10" s="31"/>
      <c r="C10" s="29"/>
      <c r="D10" s="27" t="s">
        <v>234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2" t="s">
        <v>235</v>
      </c>
      <c r="B11" s="139">
        <v>60.0</v>
      </c>
      <c r="C11" s="29"/>
      <c r="D11" s="138"/>
      <c r="E11" s="32" t="s">
        <v>133</v>
      </c>
      <c r="F11" s="32" t="s">
        <v>134</v>
      </c>
      <c r="G11" s="32" t="s">
        <v>135</v>
      </c>
      <c r="H11" s="32" t="s">
        <v>230</v>
      </c>
      <c r="I11" s="29"/>
      <c r="J11" s="30" t="s">
        <v>236</v>
      </c>
      <c r="K11" s="31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2" t="s">
        <v>237</v>
      </c>
      <c r="B12" s="139">
        <v>0.3</v>
      </c>
      <c r="C12" s="29"/>
      <c r="D12" s="32" t="s">
        <v>238</v>
      </c>
      <c r="E12" s="140">
        <v>40.0</v>
      </c>
      <c r="F12" s="141">
        <v>48.0</v>
      </c>
      <c r="G12" s="142">
        <v>50.0</v>
      </c>
      <c r="H12" s="143">
        <v>50.0</v>
      </c>
      <c r="I12" s="29"/>
      <c r="J12" s="35" t="s">
        <v>239</v>
      </c>
      <c r="K12" s="139">
        <v>24.0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32" t="s">
        <v>240</v>
      </c>
      <c r="B13" s="144">
        <v>110.0</v>
      </c>
      <c r="C13" s="29"/>
      <c r="D13" s="32" t="s">
        <v>237</v>
      </c>
      <c r="E13" s="145">
        <v>10.0</v>
      </c>
      <c r="F13" s="146">
        <v>10.0</v>
      </c>
      <c r="G13" s="147">
        <v>10.0</v>
      </c>
      <c r="H13" s="146">
        <v>10.0</v>
      </c>
      <c r="I13" s="29"/>
      <c r="J13" s="35" t="s">
        <v>241</v>
      </c>
      <c r="K13" s="139">
        <v>2500.0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/>
      <c r="B14" s="29"/>
      <c r="C14" s="29"/>
      <c r="D14" s="32" t="s">
        <v>240</v>
      </c>
      <c r="E14" s="148">
        <v>220.0</v>
      </c>
      <c r="F14" s="149">
        <v>220.0</v>
      </c>
      <c r="G14" s="149">
        <v>95.0</v>
      </c>
      <c r="H14" s="147">
        <v>100.0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35" t="s">
        <v>242</v>
      </c>
      <c r="K15" s="139">
        <f>SUM(E14,F14, 10*G14)</f>
        <v>1390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customHeight="1">
      <c r="A16" s="29"/>
      <c r="B16" s="29"/>
      <c r="C16" s="28"/>
      <c r="D16" s="29"/>
      <c r="E16" s="29"/>
      <c r="F16" s="29"/>
      <c r="G16" s="29"/>
      <c r="H16" s="29"/>
      <c r="I16" s="29"/>
      <c r="J16" s="35" t="s">
        <v>243</v>
      </c>
      <c r="K16" s="139">
        <v>2500.0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35" t="s">
        <v>244</v>
      </c>
      <c r="K17" s="139">
        <f>K15/K16</f>
        <v>0.556</v>
      </c>
      <c r="L17" s="48" t="s">
        <v>245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5">
    <mergeCell ref="A1:K4"/>
    <mergeCell ref="A6:E6"/>
    <mergeCell ref="A10:B10"/>
    <mergeCell ref="D10:H10"/>
    <mergeCell ref="J11:K1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43"/>
    <col customWidth="1" min="2" max="3" width="8.43"/>
    <col customWidth="1" min="4" max="4" width="11.29"/>
    <col customWidth="1" min="5" max="13" width="8.43"/>
    <col customWidth="1" min="14" max="14" width="63.71"/>
    <col customWidth="1" min="15" max="16" width="16.14"/>
    <col customWidth="1" min="17" max="17" width="14.86"/>
    <col customWidth="1" min="18" max="18" width="35.43"/>
    <col customWidth="1" min="19" max="19" width="27.71"/>
    <col customWidth="1" min="20" max="21" width="16.14"/>
    <col customWidth="1" min="22" max="23" width="14.86"/>
    <col customWidth="1" min="24" max="33" width="10.0"/>
  </cols>
  <sheetData>
    <row r="1">
      <c r="A1" s="43" t="s">
        <v>246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5"/>
      <c r="O1" s="29"/>
      <c r="P1" s="29"/>
      <c r="Q1" s="150" t="s">
        <v>247</v>
      </c>
      <c r="R1" s="151" t="s">
        <v>248</v>
      </c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</row>
    <row r="2">
      <c r="A2" s="25"/>
      <c r="N2" s="46"/>
      <c r="O2" s="29"/>
      <c r="P2" s="29"/>
      <c r="Q2" s="77"/>
      <c r="R2" s="151" t="s">
        <v>249</v>
      </c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>
      <c r="A3" s="25"/>
      <c r="N3" s="46"/>
      <c r="O3" s="29"/>
      <c r="P3" s="29"/>
      <c r="Q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</row>
    <row r="4" ht="15.75" customHeight="1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1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</row>
    <row r="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</row>
    <row r="6" ht="15.75" customHeight="1">
      <c r="A6" s="29"/>
      <c r="B6" s="29"/>
      <c r="C6" s="28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</row>
    <row r="7">
      <c r="A7" s="29"/>
      <c r="B7" s="29"/>
      <c r="C7" s="29"/>
      <c r="D7" s="67" t="s">
        <v>135</v>
      </c>
      <c r="E7" s="2"/>
      <c r="F7" s="2"/>
      <c r="G7" s="2"/>
      <c r="H7" s="2"/>
      <c r="I7" s="2"/>
      <c r="J7" s="2"/>
      <c r="K7" s="2"/>
      <c r="L7" s="2"/>
      <c r="M7" s="3"/>
      <c r="N7" s="27"/>
      <c r="O7" s="152" t="s">
        <v>250</v>
      </c>
      <c r="P7" s="152" t="s">
        <v>98</v>
      </c>
      <c r="Q7" s="152" t="s">
        <v>251</v>
      </c>
      <c r="R7" s="152" t="s">
        <v>252</v>
      </c>
      <c r="S7" s="152" t="s">
        <v>253</v>
      </c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</row>
    <row r="8" ht="15.75" customHeight="1">
      <c r="A8" s="29"/>
      <c r="B8" s="153" t="s">
        <v>133</v>
      </c>
      <c r="C8" s="153" t="s">
        <v>134</v>
      </c>
      <c r="D8" s="154" t="s">
        <v>254</v>
      </c>
      <c r="E8" s="155" t="s">
        <v>255</v>
      </c>
      <c r="F8" s="155" t="s">
        <v>256</v>
      </c>
      <c r="G8" s="155" t="s">
        <v>257</v>
      </c>
      <c r="H8" s="155" t="s">
        <v>258</v>
      </c>
      <c r="I8" s="155" t="s">
        <v>259</v>
      </c>
      <c r="J8" s="155" t="s">
        <v>260</v>
      </c>
      <c r="K8" s="155" t="s">
        <v>261</v>
      </c>
      <c r="L8" s="155" t="s">
        <v>262</v>
      </c>
      <c r="M8" s="155" t="s">
        <v>263</v>
      </c>
      <c r="N8" s="29"/>
      <c r="O8" s="156" t="s">
        <v>264</v>
      </c>
      <c r="P8" s="157" t="s">
        <v>265</v>
      </c>
      <c r="Q8" s="158">
        <v>23.0</v>
      </c>
      <c r="R8" s="158">
        <v>490.0</v>
      </c>
      <c r="S8" s="157">
        <f t="shared" ref="S8:S17" si="1">ROUND(3+20*log($R8),2)</f>
        <v>56.8</v>
      </c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</row>
    <row r="9" ht="15.75" customHeight="1">
      <c r="A9" s="29" t="s">
        <v>266</v>
      </c>
      <c r="B9" s="159">
        <f>S18</f>
        <v>74</v>
      </c>
      <c r="C9" s="157">
        <f>S19</f>
        <v>58</v>
      </c>
      <c r="D9" s="157">
        <f>S8</f>
        <v>56.8</v>
      </c>
      <c r="E9" s="157">
        <f>S9</f>
        <v>56.94</v>
      </c>
      <c r="F9" s="157">
        <f>S10</f>
        <v>57.22</v>
      </c>
      <c r="G9" s="157">
        <f>S11</f>
        <v>58.12</v>
      </c>
      <c r="H9" s="157">
        <f>S12</f>
        <v>58.24</v>
      </c>
      <c r="I9" s="157">
        <f>S13</f>
        <v>58.36</v>
      </c>
      <c r="J9" s="157">
        <f>S14</f>
        <v>58.82</v>
      </c>
      <c r="K9" s="157">
        <f>S15</f>
        <v>59.15</v>
      </c>
      <c r="L9" s="157">
        <f>S16</f>
        <v>59.36</v>
      </c>
      <c r="M9" s="157">
        <f>S17</f>
        <v>59.68</v>
      </c>
      <c r="N9" s="48" t="s">
        <v>267</v>
      </c>
      <c r="O9" s="156" t="s">
        <v>268</v>
      </c>
      <c r="P9" s="157" t="s">
        <v>269</v>
      </c>
      <c r="Q9" s="157">
        <v>24.0</v>
      </c>
      <c r="R9" s="157">
        <v>498.0</v>
      </c>
      <c r="S9" s="157">
        <f t="shared" si="1"/>
        <v>56.94</v>
      </c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</row>
    <row r="10" ht="15.75" customHeight="1">
      <c r="A10" s="48" t="s">
        <v>270</v>
      </c>
      <c r="B10" s="160">
        <f>'4.Cabecera'!$B$8</f>
        <v>1</v>
      </c>
      <c r="C10" s="161">
        <f>'4.Cabecera'!$C$8</f>
        <v>8</v>
      </c>
      <c r="D10" s="161">
        <f>'4.Cabecera'!$D$8</f>
        <v>17</v>
      </c>
      <c r="E10" s="161">
        <f>'4.Cabecera'!$D$8</f>
        <v>17</v>
      </c>
      <c r="F10" s="161">
        <f>'4.Cabecera'!$D$8</f>
        <v>17</v>
      </c>
      <c r="G10" s="161">
        <f>'4.Cabecera'!$D$8</f>
        <v>17</v>
      </c>
      <c r="H10" s="161">
        <f>'4.Cabecera'!$D$8</f>
        <v>17</v>
      </c>
      <c r="I10" s="161">
        <f>'4.Cabecera'!$D$8</f>
        <v>17</v>
      </c>
      <c r="J10" s="161">
        <f>'4.Cabecera'!$D$8</f>
        <v>17</v>
      </c>
      <c r="K10" s="161">
        <f>'4.Cabecera'!$D$8</f>
        <v>17</v>
      </c>
      <c r="L10" s="161">
        <f>'4.Cabecera'!$D$8</f>
        <v>17</v>
      </c>
      <c r="M10" s="161">
        <f>'4.Cabecera'!$D$8</f>
        <v>17</v>
      </c>
      <c r="N10" s="29"/>
      <c r="O10" s="156" t="s">
        <v>271</v>
      </c>
      <c r="P10" s="157" t="s">
        <v>269</v>
      </c>
      <c r="Q10" s="157">
        <v>26.0</v>
      </c>
      <c r="R10" s="157">
        <v>514.0</v>
      </c>
      <c r="S10" s="157">
        <f t="shared" si="1"/>
        <v>57.22</v>
      </c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</row>
    <row r="11" ht="15.75" customHeight="1">
      <c r="A11" s="29" t="s">
        <v>272</v>
      </c>
      <c r="B11" s="162">
        <f>ROUND(B9+B10-20*log(100)+32,2)</f>
        <v>67</v>
      </c>
      <c r="C11" s="162">
        <f>ROUND(C9+C10-20*log(200)+32,2)</f>
        <v>51.98</v>
      </c>
      <c r="D11" s="162">
        <f>ROUND(D9+D10-20*log(R8)+32,2)</f>
        <v>52</v>
      </c>
      <c r="E11" s="162">
        <f>ROUND(E9+E10-20*log(R9)+32,2)</f>
        <v>52</v>
      </c>
      <c r="F11" s="162">
        <f>ROUND(F9+F10-20*log(R10)+32,2)</f>
        <v>52</v>
      </c>
      <c r="G11" s="162">
        <f>ROUND(G9+G10-20*log(R11)+32,2)</f>
        <v>52</v>
      </c>
      <c r="H11" s="162">
        <f>ROUND(H9+H10-20*log(R12)+32,2)</f>
        <v>52</v>
      </c>
      <c r="I11" s="162">
        <f>ROUND(I9+I10-20*log(R13)+32,2)</f>
        <v>52</v>
      </c>
      <c r="J11" s="162">
        <f>ROUND(J9+J10-20*log(R14)+32,2)</f>
        <v>52</v>
      </c>
      <c r="K11" s="162">
        <f>ROUND(K9+K10-20*log(R15)+32,2)</f>
        <v>52</v>
      </c>
      <c r="L11" s="162">
        <f>ROUND(L9+L10-20*log(R16)+32,2)</f>
        <v>52</v>
      </c>
      <c r="M11" s="162">
        <f>ROUND(M9+M10-20*log(R17)+32,2)</f>
        <v>52</v>
      </c>
      <c r="N11" s="163" t="s">
        <v>273</v>
      </c>
      <c r="O11" s="156" t="s">
        <v>274</v>
      </c>
      <c r="P11" s="157" t="s">
        <v>269</v>
      </c>
      <c r="Q11" s="157">
        <v>33.0</v>
      </c>
      <c r="R11" s="157">
        <v>570.0</v>
      </c>
      <c r="S11" s="157">
        <f t="shared" si="1"/>
        <v>58.12</v>
      </c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</row>
    <row r="12" ht="15.75" customHeight="1">
      <c r="A12" s="29" t="s">
        <v>275</v>
      </c>
      <c r="B12" s="164">
        <f t="shared" ref="B12:M12" si="2">B11</f>
        <v>67</v>
      </c>
      <c r="C12" s="164">
        <f t="shared" si="2"/>
        <v>51.98</v>
      </c>
      <c r="D12" s="164">
        <f t="shared" si="2"/>
        <v>52</v>
      </c>
      <c r="E12" s="164">
        <f t="shared" si="2"/>
        <v>52</v>
      </c>
      <c r="F12" s="164">
        <f t="shared" si="2"/>
        <v>52</v>
      </c>
      <c r="G12" s="164">
        <f t="shared" si="2"/>
        <v>52</v>
      </c>
      <c r="H12" s="164">
        <f t="shared" si="2"/>
        <v>52</v>
      </c>
      <c r="I12" s="164">
        <f t="shared" si="2"/>
        <v>52</v>
      </c>
      <c r="J12" s="164">
        <f t="shared" si="2"/>
        <v>52</v>
      </c>
      <c r="K12" s="164">
        <f t="shared" si="2"/>
        <v>52</v>
      </c>
      <c r="L12" s="164">
        <f t="shared" si="2"/>
        <v>52</v>
      </c>
      <c r="M12" s="164">
        <f t="shared" si="2"/>
        <v>52</v>
      </c>
      <c r="N12" s="163" t="s">
        <v>276</v>
      </c>
      <c r="O12" s="156" t="s">
        <v>277</v>
      </c>
      <c r="P12" s="157" t="s">
        <v>278</v>
      </c>
      <c r="Q12" s="157">
        <v>34.0</v>
      </c>
      <c r="R12" s="157">
        <v>578.0</v>
      </c>
      <c r="S12" s="157">
        <f t="shared" si="1"/>
        <v>58.24</v>
      </c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</row>
    <row r="13" ht="15.75" customHeight="1">
      <c r="A13" s="29" t="s">
        <v>279</v>
      </c>
      <c r="B13" s="165">
        <f>'3.CalculoRedRTV-SAT'!$K$5</f>
        <v>99.7325</v>
      </c>
      <c r="C13" s="165">
        <f>'3.CalculoRedRTV-SAT'!$K$5</f>
        <v>99.7325</v>
      </c>
      <c r="D13" s="165">
        <f>'3.CalculoRedRTV-SAT'!$K$5</f>
        <v>99.7325</v>
      </c>
      <c r="E13" s="165">
        <f>'3.CalculoRedRTV-SAT'!$K$5</f>
        <v>99.7325</v>
      </c>
      <c r="F13" s="165">
        <f>'3.CalculoRedRTV-SAT'!$K$5</f>
        <v>99.7325</v>
      </c>
      <c r="G13" s="165">
        <f>'3.CalculoRedRTV-SAT'!$K$5</f>
        <v>99.7325</v>
      </c>
      <c r="H13" s="165">
        <f>'3.CalculoRedRTV-SAT'!$K$5</f>
        <v>99.7325</v>
      </c>
      <c r="I13" s="165">
        <f>'3.CalculoRedRTV-SAT'!$K$5</f>
        <v>99.7325</v>
      </c>
      <c r="J13" s="165">
        <f>'3.CalculoRedRTV-SAT'!$K$5</f>
        <v>99.7325</v>
      </c>
      <c r="K13" s="165">
        <f>'3.CalculoRedRTV-SAT'!$K$5</f>
        <v>99.7325</v>
      </c>
      <c r="L13" s="165">
        <f>'3.CalculoRedRTV-SAT'!$K$5</f>
        <v>99.7325</v>
      </c>
      <c r="M13" s="165">
        <f>'3.CalculoRedRTV-SAT'!$K$5</f>
        <v>99.7325</v>
      </c>
      <c r="N13" s="48" t="s">
        <v>280</v>
      </c>
      <c r="O13" s="156" t="s">
        <v>281</v>
      </c>
      <c r="P13" s="157" t="s">
        <v>269</v>
      </c>
      <c r="Q13" s="157">
        <v>35.0</v>
      </c>
      <c r="R13" s="157">
        <v>586.0</v>
      </c>
      <c r="S13" s="157">
        <f t="shared" si="1"/>
        <v>58.36</v>
      </c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</row>
    <row r="14" ht="15.75" customHeight="1">
      <c r="A14" s="29" t="s">
        <v>282</v>
      </c>
      <c r="B14" s="165">
        <f t="shared" ref="B14:M14" si="3">B13-B12</f>
        <v>32.7325</v>
      </c>
      <c r="C14" s="166">
        <f t="shared" si="3"/>
        <v>47.7525</v>
      </c>
      <c r="D14" s="166">
        <f t="shared" si="3"/>
        <v>47.7325</v>
      </c>
      <c r="E14" s="166">
        <f t="shared" si="3"/>
        <v>47.7325</v>
      </c>
      <c r="F14" s="166">
        <f t="shared" si="3"/>
        <v>47.7325</v>
      </c>
      <c r="G14" s="166">
        <f t="shared" si="3"/>
        <v>47.7325</v>
      </c>
      <c r="H14" s="166">
        <f t="shared" si="3"/>
        <v>47.7325</v>
      </c>
      <c r="I14" s="166">
        <f t="shared" si="3"/>
        <v>47.7325</v>
      </c>
      <c r="J14" s="166">
        <f t="shared" si="3"/>
        <v>47.7325</v>
      </c>
      <c r="K14" s="166">
        <f t="shared" si="3"/>
        <v>47.7325</v>
      </c>
      <c r="L14" s="166">
        <f t="shared" si="3"/>
        <v>47.7325</v>
      </c>
      <c r="M14" s="166">
        <f t="shared" si="3"/>
        <v>47.7325</v>
      </c>
      <c r="N14" s="163" t="s">
        <v>283</v>
      </c>
      <c r="O14" s="156" t="s">
        <v>284</v>
      </c>
      <c r="P14" s="157" t="s">
        <v>269</v>
      </c>
      <c r="Q14" s="157">
        <v>39.0</v>
      </c>
      <c r="R14" s="157">
        <v>618.0</v>
      </c>
      <c r="S14" s="157">
        <f t="shared" si="1"/>
        <v>58.82</v>
      </c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</row>
    <row r="15" ht="15.75" customHeight="1">
      <c r="A15" s="29" t="s">
        <v>285</v>
      </c>
      <c r="B15" s="167" t="str">
        <f>IF(B14&gt;='4.Cabecera'!$E$12,"NO","SI")</f>
        <v>SI</v>
      </c>
      <c r="C15" s="168" t="str">
        <f>IF(C14&gt;='4.Cabecera'!$F$12,"NO","SI")</f>
        <v>SI</v>
      </c>
      <c r="D15" s="168" t="str">
        <f>IF(D14&gt;='4.Cabecera'!$G$12,"NO","SI")</f>
        <v>SI</v>
      </c>
      <c r="E15" s="168" t="str">
        <f>IF(E14&gt;='4.Cabecera'!$G$12,"NO","SI")</f>
        <v>SI</v>
      </c>
      <c r="F15" s="168" t="str">
        <f>IF(F14&gt;='4.Cabecera'!$G$12,"NO","SI")</f>
        <v>SI</v>
      </c>
      <c r="G15" s="168" t="str">
        <f>IF(G14&gt;='4.Cabecera'!$G$12,"NO","SI")</f>
        <v>SI</v>
      </c>
      <c r="H15" s="168" t="str">
        <f>IF(H14&gt;='4.Cabecera'!$G$12,"NO","SI")</f>
        <v>SI</v>
      </c>
      <c r="I15" s="168" t="str">
        <f>IF(I14&gt;='4.Cabecera'!$G$12,"NO","SI")</f>
        <v>SI</v>
      </c>
      <c r="J15" s="168" t="str">
        <f>IF(J14&gt;='4.Cabecera'!$G$12,"NO","SI")</f>
        <v>SI</v>
      </c>
      <c r="K15" s="168" t="str">
        <f>IF(K14&gt;='4.Cabecera'!$G$12,"NO","SI")</f>
        <v>SI</v>
      </c>
      <c r="L15" s="168" t="str">
        <f>IF(L14&gt;='4.Cabecera'!$G$12,"NO","SI")</f>
        <v>SI</v>
      </c>
      <c r="M15" s="168" t="str">
        <f>IF(M14&gt;='4.Cabecera'!$G$12,"NO","SI")</f>
        <v>SI</v>
      </c>
      <c r="N15" s="48" t="s">
        <v>286</v>
      </c>
      <c r="O15" s="156" t="s">
        <v>287</v>
      </c>
      <c r="P15" s="157" t="s">
        <v>269</v>
      </c>
      <c r="Q15" s="157">
        <v>42.0</v>
      </c>
      <c r="R15" s="157">
        <v>642.0</v>
      </c>
      <c r="S15" s="157">
        <f t="shared" si="1"/>
        <v>59.15</v>
      </c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156" t="s">
        <v>288</v>
      </c>
      <c r="P16" s="157" t="s">
        <v>269</v>
      </c>
      <c r="Q16" s="157">
        <v>44.0</v>
      </c>
      <c r="R16" s="157">
        <v>658.0</v>
      </c>
      <c r="S16" s="157">
        <f t="shared" si="1"/>
        <v>59.36</v>
      </c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156" t="s">
        <v>289</v>
      </c>
      <c r="P17" s="157" t="s">
        <v>269</v>
      </c>
      <c r="Q17" s="157">
        <v>47.0</v>
      </c>
      <c r="R17" s="157">
        <v>682.0</v>
      </c>
      <c r="S17" s="157">
        <f t="shared" si="1"/>
        <v>59.68</v>
      </c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>
      <c r="A18" s="29"/>
      <c r="B18" s="29"/>
      <c r="C18" s="29"/>
      <c r="D18" s="48" t="s">
        <v>131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156" t="s">
        <v>133</v>
      </c>
      <c r="P18" s="157" t="s">
        <v>290</v>
      </c>
      <c r="Q18" s="169" t="s">
        <v>291</v>
      </c>
      <c r="R18" s="3"/>
      <c r="S18" s="157">
        <v>74.0</v>
      </c>
      <c r="T18" s="48" t="s">
        <v>292</v>
      </c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</row>
    <row r="19" ht="17.2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156" t="s">
        <v>134</v>
      </c>
      <c r="P19" s="157" t="s">
        <v>290</v>
      </c>
      <c r="Q19" s="170" t="s">
        <v>293</v>
      </c>
      <c r="R19" s="130"/>
      <c r="S19" s="157">
        <v>58.0</v>
      </c>
      <c r="T19" s="48" t="s">
        <v>292</v>
      </c>
      <c r="U19" s="29"/>
      <c r="V19" s="29"/>
      <c r="W19" s="29"/>
      <c r="X19" s="29"/>
      <c r="Y19" s="29"/>
      <c r="Z19" s="29"/>
      <c r="AA19" s="29"/>
      <c r="AB19" s="28"/>
      <c r="AC19" s="28"/>
      <c r="AD19" s="28"/>
      <c r="AE19" s="28"/>
      <c r="AF19" s="28"/>
      <c r="AG19" s="28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8"/>
      <c r="AC22" s="28"/>
      <c r="AD22" s="28"/>
      <c r="AE22" s="28"/>
      <c r="AF22" s="28"/>
      <c r="AG22" s="28"/>
    </row>
    <row r="23" ht="42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8"/>
      <c r="AC23" s="28"/>
      <c r="AD23" s="28"/>
      <c r="AE23" s="28"/>
      <c r="AF23" s="28"/>
      <c r="AG23" s="28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8"/>
      <c r="AC24" s="28"/>
      <c r="AD24" s="28"/>
      <c r="AE24" s="28"/>
      <c r="AF24" s="28"/>
      <c r="AG24" s="28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8"/>
      <c r="AC25" s="28"/>
      <c r="AD25" s="28"/>
      <c r="AE25" s="28"/>
      <c r="AF25" s="28"/>
      <c r="AG25" s="28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8"/>
      <c r="AC26" s="28"/>
      <c r="AD26" s="28"/>
      <c r="AE26" s="28"/>
      <c r="AF26" s="28"/>
      <c r="AG26" s="28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8"/>
      <c r="AC27" s="28"/>
      <c r="AD27" s="28"/>
      <c r="AE27" s="28"/>
      <c r="AF27" s="28"/>
      <c r="AG27" s="28"/>
    </row>
    <row r="28" ht="46.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8"/>
      <c r="AC28" s="28"/>
      <c r="AD28" s="28"/>
      <c r="AE28" s="28"/>
      <c r="AF28" s="28"/>
      <c r="AG28" s="28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8"/>
      <c r="AC29" s="28"/>
      <c r="AD29" s="28"/>
      <c r="AE29" s="28"/>
      <c r="AF29" s="28"/>
      <c r="AG29" s="28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8"/>
      <c r="AC30" s="28"/>
      <c r="AD30" s="28"/>
      <c r="AE30" s="28"/>
      <c r="AF30" s="28"/>
      <c r="AG30" s="28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8"/>
      <c r="AC31" s="28"/>
      <c r="AD31" s="28"/>
      <c r="AE31" s="28"/>
      <c r="AF31" s="28"/>
      <c r="AG31" s="28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8"/>
      <c r="AC32" s="28"/>
      <c r="AD32" s="28"/>
      <c r="AE32" s="28"/>
      <c r="AF32" s="28"/>
      <c r="AG32" s="28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8"/>
      <c r="AC33" s="28"/>
      <c r="AD33" s="28"/>
      <c r="AE33" s="28"/>
      <c r="AF33" s="28"/>
      <c r="AG33" s="28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8"/>
      <c r="AC34" s="28"/>
      <c r="AD34" s="28"/>
      <c r="AE34" s="28"/>
      <c r="AF34" s="28"/>
      <c r="AG34" s="28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8"/>
      <c r="AC35" s="28"/>
      <c r="AD35" s="28"/>
      <c r="AE35" s="28"/>
      <c r="AF35" s="28"/>
      <c r="AG35" s="28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8"/>
      <c r="AC36" s="28"/>
      <c r="AD36" s="28"/>
      <c r="AE36" s="28"/>
      <c r="AF36" s="28"/>
      <c r="AG36" s="28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8"/>
      <c r="AC37" s="28"/>
      <c r="AD37" s="28"/>
      <c r="AE37" s="28"/>
      <c r="AF37" s="28"/>
      <c r="AG37" s="28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8"/>
      <c r="AC38" s="28"/>
      <c r="AD38" s="28"/>
      <c r="AE38" s="28"/>
      <c r="AF38" s="28"/>
      <c r="AG38" s="28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8"/>
      <c r="AC39" s="28"/>
      <c r="AD39" s="28"/>
      <c r="AE39" s="28"/>
      <c r="AF39" s="28"/>
      <c r="AG39" s="28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8"/>
      <c r="AC40" s="28"/>
      <c r="AD40" s="28"/>
      <c r="AE40" s="28"/>
      <c r="AF40" s="28"/>
      <c r="AG40" s="28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8"/>
      <c r="AC41" s="28"/>
      <c r="AD41" s="28"/>
      <c r="AE41" s="28"/>
      <c r="AF41" s="28"/>
      <c r="AG41" s="28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8"/>
      <c r="AC42" s="28"/>
      <c r="AD42" s="28"/>
      <c r="AE42" s="28"/>
      <c r="AF42" s="28"/>
      <c r="AG42" s="28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8"/>
      <c r="AC43" s="28"/>
      <c r="AD43" s="28"/>
      <c r="AE43" s="28"/>
      <c r="AF43" s="28"/>
      <c r="AG43" s="28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</row>
    <row r="58" ht="35.2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</row>
    <row r="66" ht="35.2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</row>
  </sheetData>
  <mergeCells count="5">
    <mergeCell ref="A1:N4"/>
    <mergeCell ref="Q1:Q2"/>
    <mergeCell ref="D7:M7"/>
    <mergeCell ref="Q18:R18"/>
    <mergeCell ref="Q19:R19"/>
  </mergeCells>
  <hyperlinks>
    <hyperlink r:id="rId1" ref="R1"/>
    <hyperlink r:id="rId2" ref="R2"/>
  </hyperlinks>
  <printOptions/>
  <pageMargins bottom="0.75" footer="0.0" header="0.0" left="0.7" right="0.7" top="0.75"/>
  <pageSetup orientation="landscape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57"/>
    <col customWidth="1" min="2" max="3" width="40.14"/>
    <col customWidth="1" min="4" max="4" width="33.43"/>
    <col customWidth="1" min="5" max="5" width="30.86"/>
    <col customWidth="1" min="6" max="6" width="20.57"/>
    <col customWidth="1" min="7" max="7" width="31.0"/>
    <col customWidth="1" min="8" max="8" width="30.57"/>
    <col customWidth="1" min="9" max="9" width="25.29"/>
    <col customWidth="1" min="10" max="10" width="20.57"/>
  </cols>
  <sheetData>
    <row r="1">
      <c r="A1" s="43" t="s">
        <v>294</v>
      </c>
      <c r="B1" s="44"/>
      <c r="C1" s="44"/>
      <c r="D1" s="44"/>
      <c r="E1" s="44"/>
      <c r="F1" s="44"/>
      <c r="G1" s="44"/>
      <c r="H1" s="44"/>
      <c r="I1" s="44"/>
      <c r="J1" s="45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>
      <c r="A2" s="25"/>
      <c r="J2" s="46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>
      <c r="A3" s="25"/>
      <c r="J3" s="46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>
      <c r="A4" s="49"/>
      <c r="B4" s="50"/>
      <c r="C4" s="50"/>
      <c r="D4" s="50"/>
      <c r="E4" s="50"/>
      <c r="F4" s="50"/>
      <c r="G4" s="50"/>
      <c r="H4" s="50"/>
      <c r="I4" s="50"/>
      <c r="J4" s="51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>
      <c r="A8" s="27"/>
      <c r="B8" s="171" t="s">
        <v>295</v>
      </c>
      <c r="C8" s="171" t="s">
        <v>296</v>
      </c>
      <c r="D8" s="172" t="s">
        <v>297</v>
      </c>
      <c r="E8" s="172" t="s">
        <v>298</v>
      </c>
      <c r="F8" s="29"/>
      <c r="G8" s="173" t="s">
        <v>299</v>
      </c>
      <c r="H8" s="174"/>
      <c r="I8" s="175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>
      <c r="A9" s="75"/>
      <c r="B9" s="176" t="s">
        <v>300</v>
      </c>
      <c r="C9" s="130"/>
      <c r="D9" s="16"/>
      <c r="E9" s="16"/>
      <c r="F9" s="29"/>
      <c r="G9" s="177"/>
      <c r="H9" s="31"/>
      <c r="I9" s="178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</row>
    <row r="10">
      <c r="A10" s="75" t="s">
        <v>117</v>
      </c>
      <c r="B10" s="179">
        <f t="shared" ref="B10:B26" si="1">2*$H$12+D10*$H$11</f>
        <v>0.61162</v>
      </c>
      <c r="C10" s="179">
        <f t="shared" ref="C10:C26" si="2">2*$I$12+D10*$I$11</f>
        <v>0.608715</v>
      </c>
      <c r="D10" s="179">
        <f>$G$18+'1.Distancias'!C6+8*$H$18</f>
        <v>29.05</v>
      </c>
      <c r="E10" s="179">
        <f>MAX(D10)</f>
        <v>29.05</v>
      </c>
      <c r="F10" s="29"/>
      <c r="G10" s="35"/>
      <c r="H10" s="37" t="s">
        <v>301</v>
      </c>
      <c r="I10" s="37" t="s">
        <v>302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>
      <c r="A11" s="75" t="s">
        <v>211</v>
      </c>
      <c r="B11" s="180">
        <f t="shared" si="1"/>
        <v>0.6121</v>
      </c>
      <c r="C11" s="180">
        <f t="shared" si="2"/>
        <v>0.609075</v>
      </c>
      <c r="D11" s="179">
        <f>$G$18+'1.Distancias'!C11+7*$H$18</f>
        <v>30.25</v>
      </c>
      <c r="E11" s="181">
        <f>MAX(D11:D12)</f>
        <v>30.25</v>
      </c>
      <c r="F11" s="29"/>
      <c r="G11" s="35" t="s">
        <v>303</v>
      </c>
      <c r="H11" s="37">
        <v>4.0E-4</v>
      </c>
      <c r="I11" s="37">
        <v>3.0E-4</v>
      </c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</row>
    <row r="12">
      <c r="A12" s="75" t="s">
        <v>212</v>
      </c>
      <c r="B12" s="179">
        <f t="shared" si="1"/>
        <v>0.610996</v>
      </c>
      <c r="C12" s="179">
        <f t="shared" si="2"/>
        <v>0.608247</v>
      </c>
      <c r="D12" s="179">
        <f>$G$18+'1.Distancias'!C16+7*$H$18</f>
        <v>27.49</v>
      </c>
      <c r="E12" s="16"/>
      <c r="F12" s="29"/>
      <c r="G12" s="35" t="s">
        <v>304</v>
      </c>
      <c r="H12" s="37">
        <v>0.3</v>
      </c>
      <c r="I12" s="37">
        <v>0.3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>
      <c r="A13" s="75" t="s">
        <v>213</v>
      </c>
      <c r="B13" s="179">
        <f t="shared" si="1"/>
        <v>0.6109</v>
      </c>
      <c r="C13" s="179">
        <f t="shared" si="2"/>
        <v>0.608175</v>
      </c>
      <c r="D13" s="179">
        <f>$G$18+'1.Distancias'!C21+6*$H$18</f>
        <v>27.25</v>
      </c>
      <c r="E13" s="181">
        <f>MAX(D13:D14)</f>
        <v>27.25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</row>
    <row r="14">
      <c r="A14" s="75" t="s">
        <v>214</v>
      </c>
      <c r="B14" s="179">
        <f t="shared" si="1"/>
        <v>0.609796</v>
      </c>
      <c r="C14" s="179">
        <f t="shared" si="2"/>
        <v>0.607347</v>
      </c>
      <c r="D14" s="179">
        <f>$G$18+'1.Distancias'!C26+6*$H$18</f>
        <v>24.49</v>
      </c>
      <c r="E14" s="16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>
      <c r="A15" s="75" t="s">
        <v>215</v>
      </c>
      <c r="B15" s="179">
        <f t="shared" si="1"/>
        <v>0.6097</v>
      </c>
      <c r="C15" s="179">
        <f t="shared" si="2"/>
        <v>0.607275</v>
      </c>
      <c r="D15" s="179">
        <f>$G$18+'1.Distancias'!C31+5*$H$18</f>
        <v>24.25</v>
      </c>
      <c r="E15" s="181">
        <f>MAX(D15:D16)</f>
        <v>24.25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</row>
    <row r="16">
      <c r="A16" s="75" t="s">
        <v>216</v>
      </c>
      <c r="B16" s="179">
        <f t="shared" si="1"/>
        <v>0.608596</v>
      </c>
      <c r="C16" s="179">
        <f t="shared" si="2"/>
        <v>0.606447</v>
      </c>
      <c r="D16" s="179">
        <f>$G$18+'1.Distancias'!C36+5*$H$18</f>
        <v>21.49</v>
      </c>
      <c r="E16" s="16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>
      <c r="A17" s="75" t="s">
        <v>217</v>
      </c>
      <c r="B17" s="179">
        <f t="shared" si="1"/>
        <v>0.6085</v>
      </c>
      <c r="C17" s="179">
        <f t="shared" si="2"/>
        <v>0.606375</v>
      </c>
      <c r="D17" s="179">
        <f>$G$18+'1.Distancias'!C41+4*$H$18</f>
        <v>21.25</v>
      </c>
      <c r="E17" s="181">
        <f>MAX(D17:D18)</f>
        <v>21.25</v>
      </c>
      <c r="F17" s="29"/>
      <c r="G17" s="182" t="s">
        <v>305</v>
      </c>
      <c r="H17" s="182" t="s">
        <v>306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</row>
    <row r="18">
      <c r="A18" s="75" t="s">
        <v>218</v>
      </c>
      <c r="B18" s="179">
        <f t="shared" si="1"/>
        <v>0.607396</v>
      </c>
      <c r="C18" s="179">
        <f t="shared" si="2"/>
        <v>0.605547</v>
      </c>
      <c r="D18" s="179">
        <f>$G$18+'1.Distancias'!C46+4*$H$18</f>
        <v>18.49</v>
      </c>
      <c r="E18" s="16"/>
      <c r="F18" s="29"/>
      <c r="G18" s="37">
        <v>3.0</v>
      </c>
      <c r="H18" s="37">
        <v>3.0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>
      <c r="A19" s="27" t="s">
        <v>219</v>
      </c>
      <c r="B19" s="179">
        <f t="shared" si="1"/>
        <v>0.6073</v>
      </c>
      <c r="C19" s="179">
        <f t="shared" si="2"/>
        <v>0.605475</v>
      </c>
      <c r="D19" s="179">
        <f>$G$18+'1.Distancias'!C51+3*$H$18</f>
        <v>18.25</v>
      </c>
      <c r="E19" s="181">
        <f>MAX(D19:D20)</f>
        <v>18.25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</row>
    <row r="20">
      <c r="A20" s="27" t="s">
        <v>220</v>
      </c>
      <c r="B20" s="179">
        <f t="shared" si="1"/>
        <v>0.606196</v>
      </c>
      <c r="C20" s="179">
        <f t="shared" si="2"/>
        <v>0.604647</v>
      </c>
      <c r="D20" s="179">
        <f>$G$18+'1.Distancias'!C56+3*$H$18</f>
        <v>15.49</v>
      </c>
      <c r="E20" s="16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>
      <c r="A21" s="27" t="s">
        <v>221</v>
      </c>
      <c r="B21" s="179">
        <f t="shared" si="1"/>
        <v>0.6061</v>
      </c>
      <c r="C21" s="179">
        <f t="shared" si="2"/>
        <v>0.604575</v>
      </c>
      <c r="D21" s="179">
        <f>$G$18+'1.Distancias'!C61+2*$H$18</f>
        <v>15.25</v>
      </c>
      <c r="E21" s="181">
        <f>MAX(D21:D22)</f>
        <v>15.25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</row>
    <row r="22">
      <c r="A22" s="27" t="s">
        <v>222</v>
      </c>
      <c r="B22" s="179">
        <f t="shared" si="1"/>
        <v>0.604996</v>
      </c>
      <c r="C22" s="179">
        <f t="shared" si="2"/>
        <v>0.603747</v>
      </c>
      <c r="D22" s="179">
        <f>$G$18+'1.Distancias'!C66+2*$H$18</f>
        <v>12.49</v>
      </c>
      <c r="E22" s="16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>
      <c r="A23" s="27" t="s">
        <v>223</v>
      </c>
      <c r="B23" s="179">
        <f t="shared" si="1"/>
        <v>0.6049</v>
      </c>
      <c r="C23" s="179">
        <f t="shared" si="2"/>
        <v>0.603675</v>
      </c>
      <c r="D23" s="179">
        <f>$G$18+'1.Distancias'!C71+$H$18</f>
        <v>12.25</v>
      </c>
      <c r="E23" s="181">
        <f>MAX(D23:D24)</f>
        <v>12.25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</row>
    <row r="24">
      <c r="A24" s="27" t="s">
        <v>224</v>
      </c>
      <c r="B24" s="179">
        <f t="shared" si="1"/>
        <v>0.603796</v>
      </c>
      <c r="C24" s="179">
        <f t="shared" si="2"/>
        <v>0.602847</v>
      </c>
      <c r="D24" s="179">
        <f>$G$18+'1.Distancias'!C76+$H$18</f>
        <v>9.49</v>
      </c>
      <c r="E24" s="16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>
      <c r="A25" s="27" t="s">
        <v>225</v>
      </c>
      <c r="B25" s="179">
        <f t="shared" si="1"/>
        <v>0.6037</v>
      </c>
      <c r="C25" s="179">
        <f t="shared" si="2"/>
        <v>0.602775</v>
      </c>
      <c r="D25" s="179">
        <f>$G$18+'1.Distancias'!C81</f>
        <v>9.25</v>
      </c>
      <c r="E25" s="181">
        <f>MAX(D25:D26)</f>
        <v>9.25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</row>
    <row r="26">
      <c r="A26" s="27" t="s">
        <v>226</v>
      </c>
      <c r="B26" s="179">
        <f t="shared" si="1"/>
        <v>0.602596</v>
      </c>
      <c r="C26" s="179">
        <f t="shared" si="2"/>
        <v>0.601947</v>
      </c>
      <c r="D26" s="179">
        <f>$G$18+'1.Distancias'!C86</f>
        <v>6.49</v>
      </c>
      <c r="E26" s="16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>
      <c r="A27" s="29"/>
      <c r="B27" s="29"/>
      <c r="C27" s="29"/>
      <c r="D27" s="171" t="s">
        <v>307</v>
      </c>
      <c r="E27" s="37">
        <f>SUM(D10:E26)</f>
        <v>510.02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</row>
    <row r="28">
      <c r="A28" s="29"/>
      <c r="B28" s="29"/>
      <c r="C28" s="29"/>
      <c r="D28" s="171" t="s">
        <v>140</v>
      </c>
      <c r="E28" s="37" t="s">
        <v>308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>
      <c r="A31" s="29"/>
      <c r="B31" s="29"/>
      <c r="C31" s="29"/>
      <c r="D31" s="29"/>
      <c r="E31" s="29"/>
      <c r="F31" s="29"/>
      <c r="G31" s="183"/>
      <c r="H31" s="183"/>
      <c r="I31" s="183"/>
      <c r="J31" s="183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</row>
    <row r="32">
      <c r="A32" s="58" t="s">
        <v>309</v>
      </c>
      <c r="B32" s="53"/>
      <c r="C32" s="53"/>
      <c r="D32" s="184"/>
      <c r="E32" s="29"/>
      <c r="F32" s="29"/>
      <c r="G32" s="183"/>
      <c r="H32" s="183"/>
      <c r="I32" s="183"/>
      <c r="J32" s="183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>
      <c r="A33" s="185" t="s">
        <v>310</v>
      </c>
      <c r="B33" s="186" t="s">
        <v>311</v>
      </c>
      <c r="C33" s="186" t="s">
        <v>177</v>
      </c>
      <c r="D33" s="186" t="s">
        <v>312</v>
      </c>
      <c r="E33" s="29"/>
      <c r="F33" s="29"/>
      <c r="G33" s="58" t="s">
        <v>313</v>
      </c>
      <c r="H33" s="53"/>
      <c r="I33" s="53"/>
      <c r="J33" s="130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</row>
    <row r="34">
      <c r="A34" s="187" t="s">
        <v>314</v>
      </c>
      <c r="B34" s="188">
        <f>'1.Distancias'!B86</f>
        <v>2.36</v>
      </c>
      <c r="C34" s="189">
        <v>0.0</v>
      </c>
      <c r="D34" s="188">
        <f t="shared" ref="D34:D38" si="3">B34*C34</f>
        <v>0</v>
      </c>
      <c r="E34" s="29"/>
      <c r="F34" s="29"/>
      <c r="G34" s="190" t="s">
        <v>315</v>
      </c>
      <c r="H34" s="191" t="s">
        <v>316</v>
      </c>
      <c r="I34" s="191" t="s">
        <v>317</v>
      </c>
      <c r="J34" s="191" t="s">
        <v>117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</row>
    <row r="35">
      <c r="A35" s="187" t="s">
        <v>318</v>
      </c>
      <c r="B35" s="188">
        <f>'1.Distancias'!B87</f>
        <v>6.75</v>
      </c>
      <c r="C35" s="189">
        <v>0.0</v>
      </c>
      <c r="D35" s="188">
        <f t="shared" si="3"/>
        <v>0</v>
      </c>
      <c r="E35" s="29"/>
      <c r="F35" s="29"/>
      <c r="G35" s="191" t="s">
        <v>319</v>
      </c>
      <c r="H35" s="188">
        <f t="shared" ref="H35:H36" si="4">$H$11*$D$39+$H$12</f>
        <v>0.300848</v>
      </c>
      <c r="I35" s="188">
        <f t="shared" ref="I35:I36" si="5">$H$11*$D$45+$H$12</f>
        <v>0.30068</v>
      </c>
      <c r="J35" s="188">
        <f t="shared" ref="J35:J36" si="6">$H$11*$D$51+$H$12</f>
        <v>0.301748</v>
      </c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</row>
    <row r="36">
      <c r="A36" s="187" t="s">
        <v>320</v>
      </c>
      <c r="B36" s="188">
        <f>'1.Distancias'!B88</f>
        <v>5.45</v>
      </c>
      <c r="C36" s="189">
        <v>0.0</v>
      </c>
      <c r="D36" s="188">
        <f t="shared" si="3"/>
        <v>0</v>
      </c>
      <c r="E36" s="29"/>
      <c r="F36" s="29"/>
      <c r="G36" s="191" t="s">
        <v>321</v>
      </c>
      <c r="H36" s="188">
        <f t="shared" si="4"/>
        <v>0.300848</v>
      </c>
      <c r="I36" s="188">
        <f t="shared" si="5"/>
        <v>0.30068</v>
      </c>
      <c r="J36" s="188">
        <f t="shared" si="6"/>
        <v>0.301748</v>
      </c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</row>
    <row r="37">
      <c r="A37" s="187" t="s">
        <v>322</v>
      </c>
      <c r="B37" s="188">
        <f>'1.Distancias'!B89</f>
        <v>1.14</v>
      </c>
      <c r="C37" s="189">
        <v>0.0</v>
      </c>
      <c r="D37" s="188">
        <f t="shared" si="3"/>
        <v>0</v>
      </c>
      <c r="E37" s="29"/>
      <c r="F37" s="29"/>
      <c r="G37" s="191" t="s">
        <v>302</v>
      </c>
      <c r="H37" s="188">
        <f>$I$11*$D$39+$I$12</f>
        <v>0.300636</v>
      </c>
      <c r="I37" s="188">
        <f>$I$11*$D$45+$I$12</f>
        <v>0.30051</v>
      </c>
      <c r="J37" s="188">
        <f>$I$11*$I$51+$I$12</f>
        <v>0.3006</v>
      </c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</row>
    <row r="38">
      <c r="A38" s="187" t="s">
        <v>323</v>
      </c>
      <c r="B38" s="188">
        <f>'1.Distancias'!B90</f>
        <v>2.12</v>
      </c>
      <c r="C38" s="189">
        <v>1.0</v>
      </c>
      <c r="D38" s="188">
        <f t="shared" si="3"/>
        <v>2.12</v>
      </c>
      <c r="E38" s="29"/>
      <c r="F38" s="29"/>
      <c r="G38" s="183"/>
      <c r="H38" s="183"/>
      <c r="I38" s="183"/>
      <c r="J38" s="183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</row>
    <row r="39">
      <c r="A39" s="58" t="s">
        <v>324</v>
      </c>
      <c r="B39" s="53"/>
      <c r="C39" s="53"/>
      <c r="D39" s="184">
        <f>SUM(D34:D38)</f>
        <v>2.12</v>
      </c>
      <c r="E39" s="29"/>
      <c r="F39" s="29"/>
      <c r="G39" s="183"/>
      <c r="H39" s="183"/>
      <c r="I39" s="183"/>
      <c r="J39" s="183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</row>
    <row r="40">
      <c r="A40" s="187" t="s">
        <v>314</v>
      </c>
      <c r="B40" s="188">
        <f>'1.Distancias'!B76</f>
        <v>2.67</v>
      </c>
      <c r="C40" s="189">
        <v>0.0</v>
      </c>
      <c r="D40" s="188">
        <f t="shared" ref="D40:D44" si="7">B40*C40</f>
        <v>0</v>
      </c>
      <c r="E40" s="29"/>
      <c r="F40" s="29"/>
      <c r="G40" s="183"/>
      <c r="H40" s="183"/>
      <c r="I40" s="183"/>
      <c r="J40" s="183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</row>
    <row r="41">
      <c r="A41" s="187" t="s">
        <v>318</v>
      </c>
      <c r="B41" s="188">
        <f>'1.Distancias'!B77</f>
        <v>6.37</v>
      </c>
      <c r="C41" s="189">
        <v>0.0</v>
      </c>
      <c r="D41" s="188">
        <f t="shared" si="7"/>
        <v>0</v>
      </c>
      <c r="E41" s="29"/>
      <c r="F41" s="29"/>
      <c r="G41" s="192" t="s">
        <v>325</v>
      </c>
      <c r="H41" s="53"/>
      <c r="I41" s="53"/>
      <c r="J41" s="130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</row>
    <row r="42">
      <c r="A42" s="187" t="s">
        <v>320</v>
      </c>
      <c r="B42" s="188">
        <f>'1.Distancias'!B78</f>
        <v>5.45</v>
      </c>
      <c r="C42" s="189">
        <v>0.0</v>
      </c>
      <c r="D42" s="188">
        <f t="shared" si="7"/>
        <v>0</v>
      </c>
      <c r="E42" s="29"/>
      <c r="F42" s="29"/>
      <c r="G42" s="193" t="s">
        <v>326</v>
      </c>
      <c r="H42" s="194" t="s">
        <v>316</v>
      </c>
      <c r="I42" s="194" t="s">
        <v>317</v>
      </c>
      <c r="J42" s="194" t="s">
        <v>117</v>
      </c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</row>
    <row r="43">
      <c r="A43" s="187" t="s">
        <v>322</v>
      </c>
      <c r="B43" s="188">
        <f>'1.Distancias'!B79</f>
        <v>0.85</v>
      </c>
      <c r="C43" s="189">
        <v>0.0</v>
      </c>
      <c r="D43" s="188">
        <f t="shared" si="7"/>
        <v>0</v>
      </c>
      <c r="E43" s="29"/>
      <c r="F43" s="29"/>
      <c r="G43" s="195" t="s">
        <v>314</v>
      </c>
      <c r="H43" s="196">
        <v>0.0</v>
      </c>
      <c r="I43" s="196">
        <v>0.0</v>
      </c>
      <c r="J43" s="196">
        <v>0.0</v>
      </c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</row>
    <row r="44">
      <c r="A44" s="187" t="s">
        <v>323</v>
      </c>
      <c r="B44" s="188">
        <f>'1.Distancias'!B80</f>
        <v>1.7</v>
      </c>
      <c r="C44" s="189">
        <v>1.0</v>
      </c>
      <c r="D44" s="188">
        <f t="shared" si="7"/>
        <v>1.7</v>
      </c>
      <c r="E44" s="29"/>
      <c r="F44" s="29"/>
      <c r="G44" s="195" t="s">
        <v>318</v>
      </c>
      <c r="H44" s="196">
        <v>0.0</v>
      </c>
      <c r="I44" s="196">
        <v>0.0</v>
      </c>
      <c r="J44" s="196">
        <v>0.0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</row>
    <row r="45">
      <c r="A45" s="58" t="s">
        <v>327</v>
      </c>
      <c r="B45" s="53"/>
      <c r="C45" s="53"/>
      <c r="D45" s="184">
        <f>SUM(D40:D44)</f>
        <v>1.7</v>
      </c>
      <c r="E45" s="29"/>
      <c r="F45" s="29"/>
      <c r="G45" s="195" t="s">
        <v>320</v>
      </c>
      <c r="H45" s="196">
        <v>0.0</v>
      </c>
      <c r="I45" s="196">
        <v>0.0</v>
      </c>
      <c r="J45" s="196">
        <v>0.0</v>
      </c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</row>
    <row r="46">
      <c r="A46" s="187" t="s">
        <v>314</v>
      </c>
      <c r="B46" s="188">
        <f>'1.Distancias'!B6</f>
        <v>7.97</v>
      </c>
      <c r="C46" s="189">
        <v>0.0</v>
      </c>
      <c r="D46" s="188">
        <f t="shared" ref="D46:D50" si="8">B46*C46</f>
        <v>0</v>
      </c>
      <c r="E46" s="29"/>
      <c r="F46" s="29"/>
      <c r="G46" s="195" t="s">
        <v>322</v>
      </c>
      <c r="H46" s="196">
        <v>0.0</v>
      </c>
      <c r="I46" s="196">
        <v>0.0</v>
      </c>
      <c r="J46" s="196">
        <v>0.0</v>
      </c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</row>
    <row r="47">
      <c r="A47" s="187" t="s">
        <v>318</v>
      </c>
      <c r="B47" s="188">
        <f>'1.Distancias'!B7</f>
        <v>10.29</v>
      </c>
      <c r="C47" s="189">
        <v>0.0</v>
      </c>
      <c r="D47" s="188">
        <f t="shared" si="8"/>
        <v>0</v>
      </c>
      <c r="E47" s="29"/>
      <c r="F47" s="29"/>
      <c r="G47" s="195" t="s">
        <v>323</v>
      </c>
      <c r="H47" s="196">
        <v>1.0</v>
      </c>
      <c r="I47" s="196">
        <v>1.0</v>
      </c>
      <c r="J47" s="196">
        <v>1.0</v>
      </c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</row>
    <row r="48">
      <c r="A48" s="187" t="s">
        <v>320</v>
      </c>
      <c r="B48" s="188">
        <f>'1.Distancias'!B8</f>
        <v>10.95</v>
      </c>
      <c r="C48" s="189">
        <v>0.0</v>
      </c>
      <c r="D48" s="188">
        <f t="shared" si="8"/>
        <v>0</v>
      </c>
      <c r="E48" s="29"/>
      <c r="F48" s="29"/>
      <c r="G48" s="195" t="s">
        <v>328</v>
      </c>
      <c r="H48" s="195">
        <f t="shared" ref="H48:J48" si="9">SUM(H43:H47)</f>
        <v>1</v>
      </c>
      <c r="I48" s="195">
        <f t="shared" si="9"/>
        <v>1</v>
      </c>
      <c r="J48" s="195">
        <f t="shared" si="9"/>
        <v>1</v>
      </c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</row>
    <row r="49">
      <c r="A49" s="187" t="s">
        <v>322</v>
      </c>
      <c r="B49" s="188">
        <f>'1.Distancias'!B9</f>
        <v>8.1</v>
      </c>
      <c r="C49" s="189">
        <v>0.0</v>
      </c>
      <c r="D49" s="188">
        <f t="shared" si="8"/>
        <v>0</v>
      </c>
      <c r="E49" s="29"/>
      <c r="F49" s="29"/>
      <c r="G49" s="183"/>
      <c r="H49" s="183"/>
      <c r="I49" s="183"/>
      <c r="J49" s="183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</row>
    <row r="50">
      <c r="A50" s="187" t="s">
        <v>323</v>
      </c>
      <c r="B50" s="188">
        <f>'1.Distancias'!B10</f>
        <v>4.37</v>
      </c>
      <c r="C50" s="189">
        <v>1.0</v>
      </c>
      <c r="D50" s="197">
        <f t="shared" si="8"/>
        <v>4.37</v>
      </c>
      <c r="E50" s="29"/>
      <c r="F50" s="29"/>
      <c r="G50" s="198" t="s">
        <v>326</v>
      </c>
      <c r="H50" s="198" t="s">
        <v>329</v>
      </c>
      <c r="I50" s="198" t="s">
        <v>330</v>
      </c>
      <c r="J50" s="183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</row>
    <row r="51">
      <c r="A51" s="29"/>
      <c r="B51" s="29"/>
      <c r="C51" s="29"/>
      <c r="D51" s="171">
        <f>SUM(D46:D50)</f>
        <v>4.37</v>
      </c>
      <c r="E51" s="29"/>
      <c r="F51" s="29"/>
      <c r="G51" s="194" t="s">
        <v>331</v>
      </c>
      <c r="H51" s="196">
        <v>2.0</v>
      </c>
      <c r="I51" s="196">
        <f>H51*H48</f>
        <v>2</v>
      </c>
      <c r="J51" s="183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</row>
    <row r="52">
      <c r="A52" s="29"/>
      <c r="B52" s="29"/>
      <c r="C52" s="29"/>
      <c r="D52" s="29"/>
      <c r="E52" s="29"/>
      <c r="F52" s="29"/>
      <c r="G52" s="194" t="s">
        <v>332</v>
      </c>
      <c r="H52" s="196">
        <v>14.0</v>
      </c>
      <c r="I52" s="196">
        <f>H52*I48</f>
        <v>14</v>
      </c>
      <c r="J52" s="183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>
      <c r="A53" s="199" t="s">
        <v>326</v>
      </c>
      <c r="B53" s="199" t="s">
        <v>329</v>
      </c>
      <c r="C53" s="199" t="s">
        <v>333</v>
      </c>
      <c r="D53" s="29"/>
      <c r="E53" s="29"/>
      <c r="F53" s="29"/>
      <c r="G53" s="194" t="s">
        <v>117</v>
      </c>
      <c r="H53" s="196">
        <v>1.0</v>
      </c>
      <c r="I53" s="196">
        <f>H53*J48</f>
        <v>1</v>
      </c>
      <c r="J53" s="183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</row>
    <row r="54">
      <c r="A54" s="191" t="s">
        <v>331</v>
      </c>
      <c r="B54" s="189">
        <v>2.0</v>
      </c>
      <c r="C54" s="189">
        <f>B54*D39</f>
        <v>4.24</v>
      </c>
      <c r="D54" s="29"/>
      <c r="E54" s="29"/>
      <c r="F54" s="29"/>
      <c r="G54" s="200"/>
      <c r="H54" s="200"/>
      <c r="I54" s="201">
        <f>SUM(I51:I53)</f>
        <v>17</v>
      </c>
      <c r="J54" s="183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</row>
    <row r="55">
      <c r="A55" s="191" t="s">
        <v>332</v>
      </c>
      <c r="B55" s="189">
        <v>14.0</v>
      </c>
      <c r="C55" s="189">
        <f>B55*D45</f>
        <v>23.8</v>
      </c>
      <c r="D55" s="29"/>
      <c r="E55" s="29"/>
      <c r="F55" s="29"/>
      <c r="G55" s="183"/>
      <c r="H55" s="183"/>
      <c r="I55" s="183"/>
      <c r="J55" s="183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</row>
    <row r="56">
      <c r="A56" s="191" t="s">
        <v>117</v>
      </c>
      <c r="B56" s="189">
        <v>1.0</v>
      </c>
      <c r="C56" s="189">
        <f>B56*D51</f>
        <v>4.37</v>
      </c>
      <c r="D56" s="29"/>
      <c r="E56" s="29"/>
      <c r="F56" s="29"/>
      <c r="G56" s="183"/>
      <c r="H56" s="183"/>
      <c r="I56" s="183"/>
      <c r="J56" s="183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</row>
    <row r="57">
      <c r="A57" s="29"/>
      <c r="B57" s="29" t="str">
        <f>'1.Distancias'!B110</f>
        <v/>
      </c>
      <c r="C57" s="171">
        <f>SUM(C54:C56)</f>
        <v>32.41</v>
      </c>
      <c r="D57" s="29"/>
      <c r="E57" s="29"/>
      <c r="F57" s="29"/>
      <c r="G57" s="192" t="s">
        <v>334</v>
      </c>
      <c r="H57" s="53"/>
      <c r="I57" s="183"/>
      <c r="J57" s="183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</row>
    <row r="58">
      <c r="A58" s="29"/>
      <c r="B58" s="29"/>
      <c r="C58" s="29"/>
      <c r="D58" s="29"/>
      <c r="E58" s="29"/>
      <c r="F58" s="29"/>
      <c r="G58" s="194" t="s">
        <v>335</v>
      </c>
      <c r="H58" s="194" t="s">
        <v>336</v>
      </c>
      <c r="I58" s="183"/>
      <c r="J58" s="183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>
      <c r="A59" s="29"/>
      <c r="B59" s="29"/>
      <c r="C59" s="171" t="s">
        <v>337</v>
      </c>
      <c r="D59" s="37">
        <f>C57</f>
        <v>32.41</v>
      </c>
      <c r="E59" s="29"/>
      <c r="F59" s="29"/>
      <c r="G59" s="194" t="s">
        <v>3</v>
      </c>
      <c r="H59" s="196">
        <v>17.0</v>
      </c>
      <c r="I59" s="183"/>
      <c r="J59" s="183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</row>
    <row r="60">
      <c r="A60" s="29"/>
      <c r="B60" s="29"/>
      <c r="C60" s="29"/>
      <c r="D60" s="29"/>
      <c r="E60" s="29"/>
      <c r="F60" s="29"/>
      <c r="G60" s="194" t="s">
        <v>338</v>
      </c>
      <c r="H60" s="196">
        <v>52.0</v>
      </c>
      <c r="I60" s="183"/>
      <c r="J60" s="183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</row>
    <row r="61">
      <c r="A61" s="29"/>
      <c r="B61" s="29"/>
      <c r="C61" s="29"/>
      <c r="D61" s="29"/>
      <c r="E61" s="29"/>
      <c r="F61" s="29"/>
      <c r="G61" s="183"/>
      <c r="H61" s="183"/>
      <c r="I61" s="183"/>
      <c r="J61" s="183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</row>
  </sheetData>
  <mergeCells count="19">
    <mergeCell ref="A1:J4"/>
    <mergeCell ref="D8:D9"/>
    <mergeCell ref="E8:E9"/>
    <mergeCell ref="G8:I9"/>
    <mergeCell ref="B9:C9"/>
    <mergeCell ref="E11:E12"/>
    <mergeCell ref="E13:E14"/>
    <mergeCell ref="A32:C32"/>
    <mergeCell ref="A39:C39"/>
    <mergeCell ref="A45:C45"/>
    <mergeCell ref="G41:J41"/>
    <mergeCell ref="G57:H57"/>
    <mergeCell ref="E15:E16"/>
    <mergeCell ref="E17:E18"/>
    <mergeCell ref="E19:E20"/>
    <mergeCell ref="E21:E22"/>
    <mergeCell ref="E23:E24"/>
    <mergeCell ref="E25:E26"/>
    <mergeCell ref="G33:J3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57"/>
    <col customWidth="1" min="2" max="2" width="19.14"/>
    <col customWidth="1" min="3" max="3" width="17.14"/>
    <col customWidth="1" min="4" max="4" width="16.0"/>
    <col customWidth="1" min="5" max="5" width="24.86"/>
    <col customWidth="1" min="6" max="6" width="92.71"/>
    <col customWidth="1" min="7" max="27" width="10.0"/>
  </cols>
  <sheetData>
    <row r="1">
      <c r="A1" s="137" t="s">
        <v>339</v>
      </c>
      <c r="B1" s="2"/>
      <c r="C1" s="2"/>
      <c r="D1" s="2"/>
      <c r="E1" s="2"/>
      <c r="F1" s="2"/>
      <c r="G1" s="3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5"/>
      <c r="G2" s="26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25"/>
      <c r="G3" s="26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ht="30.75" customHeight="1">
      <c r="A4" s="4"/>
      <c r="B4" s="5"/>
      <c r="C4" s="5"/>
      <c r="D4" s="5"/>
      <c r="E4" s="5"/>
      <c r="F4" s="5"/>
      <c r="G4" s="6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A5" s="28"/>
      <c r="B5" s="28"/>
      <c r="C5" s="28"/>
      <c r="D5" s="28"/>
      <c r="E5" s="28"/>
      <c r="F5" s="28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ht="15.75" customHeight="1">
      <c r="A6" s="28"/>
      <c r="B6" s="28"/>
      <c r="C6" s="28"/>
      <c r="D6" s="28"/>
      <c r="E6" s="28"/>
      <c r="F6" s="28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ht="30.75" customHeight="1">
      <c r="A7" s="134" t="s">
        <v>340</v>
      </c>
      <c r="B7" s="202" t="s">
        <v>341</v>
      </c>
      <c r="C7" s="202" t="s">
        <v>342</v>
      </c>
      <c r="D7" s="202" t="s">
        <v>343</v>
      </c>
      <c r="E7" s="202" t="s">
        <v>344</v>
      </c>
      <c r="F7" s="203" t="s">
        <v>345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ht="15.75" customHeight="1">
      <c r="A8" s="204" t="s">
        <v>346</v>
      </c>
      <c r="B8" s="205" t="s">
        <v>347</v>
      </c>
      <c r="C8" s="206">
        <v>1201.0</v>
      </c>
      <c r="D8" s="206">
        <v>1.0</v>
      </c>
      <c r="E8" s="207" t="s">
        <v>348</v>
      </c>
      <c r="F8" s="208" t="s">
        <v>349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ht="15.75" customHeight="1">
      <c r="A9" s="209" t="s">
        <v>350</v>
      </c>
      <c r="B9" s="210" t="s">
        <v>347</v>
      </c>
      <c r="C9" s="211">
        <v>1050.0</v>
      </c>
      <c r="D9" s="211">
        <v>1.0</v>
      </c>
      <c r="E9" s="210" t="s">
        <v>351</v>
      </c>
      <c r="F9" s="212" t="s">
        <v>352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t="15.75" customHeight="1">
      <c r="A10" s="209" t="s">
        <v>353</v>
      </c>
      <c r="B10" s="210" t="s">
        <v>347</v>
      </c>
      <c r="C10" s="211">
        <v>149921.0</v>
      </c>
      <c r="D10" s="211">
        <v>1.0</v>
      </c>
      <c r="E10" s="210" t="s">
        <v>135</v>
      </c>
      <c r="F10" s="212" t="s">
        <v>354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t="15.75" customHeight="1">
      <c r="A11" s="209" t="s">
        <v>355</v>
      </c>
      <c r="B11" s="210" t="s">
        <v>347</v>
      </c>
      <c r="C11" s="211">
        <v>793002.0</v>
      </c>
      <c r="D11" s="213">
        <v>2.0</v>
      </c>
      <c r="E11" s="210" t="s">
        <v>356</v>
      </c>
      <c r="F11" s="212" t="s">
        <v>357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t="15.75" customHeight="1">
      <c r="A12" s="209" t="s">
        <v>233</v>
      </c>
      <c r="B12" s="210" t="s">
        <v>347</v>
      </c>
      <c r="C12" s="213">
        <v>7475.0</v>
      </c>
      <c r="D12" s="213">
        <v>1.0</v>
      </c>
      <c r="E12" s="210" t="s">
        <v>356</v>
      </c>
      <c r="F12" s="214" t="s">
        <v>358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t="15.75" customHeight="1">
      <c r="A13" s="215" t="s">
        <v>359</v>
      </c>
      <c r="B13" s="216" t="s">
        <v>347</v>
      </c>
      <c r="C13" s="217">
        <v>509012.0</v>
      </c>
      <c r="D13" s="217">
        <v>1.0</v>
      </c>
      <c r="E13" s="216" t="s">
        <v>348</v>
      </c>
      <c r="F13" s="212" t="s">
        <v>360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t="15.75" customHeight="1">
      <c r="A14" s="215" t="s">
        <v>359</v>
      </c>
      <c r="B14" s="216" t="s">
        <v>347</v>
      </c>
      <c r="C14" s="217">
        <v>509012.0</v>
      </c>
      <c r="D14" s="217">
        <v>1.0</v>
      </c>
      <c r="E14" s="216" t="s">
        <v>351</v>
      </c>
      <c r="F14" s="212" t="s">
        <v>360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t="15.75" customHeight="1">
      <c r="A15" s="215" t="s">
        <v>359</v>
      </c>
      <c r="B15" s="216" t="s">
        <v>347</v>
      </c>
      <c r="C15" s="217">
        <v>509812.0</v>
      </c>
      <c r="D15" s="217">
        <v>1.0</v>
      </c>
      <c r="E15" s="216" t="s">
        <v>135</v>
      </c>
      <c r="F15" s="212" t="s">
        <v>361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t="35.25" customHeight="1">
      <c r="A16" s="215" t="s">
        <v>362</v>
      </c>
      <c r="B16" s="216" t="s">
        <v>347</v>
      </c>
      <c r="C16" s="218">
        <v>549812.0</v>
      </c>
      <c r="D16" s="218">
        <v>1.0</v>
      </c>
      <c r="E16" s="216" t="s">
        <v>363</v>
      </c>
      <c r="F16" s="219" t="s">
        <v>364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t="15.75" customHeight="1">
      <c r="A17" s="215" t="s">
        <v>365</v>
      </c>
      <c r="B17" s="216" t="s">
        <v>347</v>
      </c>
      <c r="C17" s="220"/>
      <c r="D17" s="220"/>
      <c r="E17" s="216" t="s">
        <v>356</v>
      </c>
      <c r="F17" s="219" t="s">
        <v>366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t="15.75" customHeight="1">
      <c r="A18" s="162" t="s">
        <v>367</v>
      </c>
      <c r="B18" s="216" t="s">
        <v>347</v>
      </c>
      <c r="C18" s="217">
        <v>745210.0</v>
      </c>
      <c r="D18" s="220">
        <v>2.0</v>
      </c>
      <c r="E18" s="216" t="s">
        <v>363</v>
      </c>
      <c r="F18" s="212" t="s">
        <v>368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t="15.75" customHeight="1">
      <c r="A19" s="162" t="s">
        <v>173</v>
      </c>
      <c r="B19" s="216" t="s">
        <v>129</v>
      </c>
      <c r="C19" s="217">
        <v>519322.0</v>
      </c>
      <c r="D19" s="218">
        <v>2.0</v>
      </c>
      <c r="E19" s="216" t="s">
        <v>363</v>
      </c>
      <c r="F19" s="212" t="s">
        <v>369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t="15.75" customHeight="1">
      <c r="A20" s="162" t="s">
        <v>173</v>
      </c>
      <c r="B20" s="216" t="s">
        <v>126</v>
      </c>
      <c r="C20" s="217">
        <v>519323.0</v>
      </c>
      <c r="D20" s="218">
        <v>4.0</v>
      </c>
      <c r="E20" s="216" t="s">
        <v>363</v>
      </c>
      <c r="F20" s="212" t="s">
        <v>370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15.75" customHeight="1">
      <c r="A21" s="162" t="s">
        <v>173</v>
      </c>
      <c r="B21" s="221" t="s">
        <v>122</v>
      </c>
      <c r="C21" s="217">
        <v>519324.0</v>
      </c>
      <c r="D21" s="218">
        <v>6.0</v>
      </c>
      <c r="E21" s="216" t="s">
        <v>363</v>
      </c>
      <c r="F21" s="212" t="s">
        <v>371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t="15.75" customHeight="1">
      <c r="A22" s="162" t="s">
        <v>173</v>
      </c>
      <c r="B22" s="221" t="s">
        <v>118</v>
      </c>
      <c r="C22" s="217">
        <v>519325.0</v>
      </c>
      <c r="D22" s="218">
        <v>6.0</v>
      </c>
      <c r="E22" s="216" t="s">
        <v>363</v>
      </c>
      <c r="F22" s="212" t="s">
        <v>372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t="15.75" customHeight="1">
      <c r="A23" s="162" t="s">
        <v>373</v>
      </c>
      <c r="B23" s="222">
        <v>1.0</v>
      </c>
      <c r="C23" s="217">
        <v>453003.0</v>
      </c>
      <c r="D23" s="218">
        <v>1.0</v>
      </c>
      <c r="E23" s="216" t="s">
        <v>374</v>
      </c>
      <c r="F23" s="212" t="s">
        <v>375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t="15.75" customHeight="1">
      <c r="A24" s="162" t="s">
        <v>376</v>
      </c>
      <c r="B24" s="222">
        <v>2.0</v>
      </c>
      <c r="C24" s="217">
        <v>519535.0</v>
      </c>
      <c r="D24" s="217">
        <v>17.0</v>
      </c>
      <c r="E24" s="216" t="s">
        <v>374</v>
      </c>
      <c r="F24" s="212" t="s">
        <v>377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t="15.75" customHeight="1">
      <c r="A25" s="215" t="s">
        <v>378</v>
      </c>
      <c r="B25" s="216" t="s">
        <v>379</v>
      </c>
      <c r="C25" s="217">
        <v>2126.0</v>
      </c>
      <c r="D25" s="223"/>
      <c r="E25" s="216" t="s">
        <v>374</v>
      </c>
      <c r="F25" s="224" t="s">
        <v>380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t="15.75" customHeight="1">
      <c r="A26" s="162" t="s">
        <v>381</v>
      </c>
      <c r="B26" s="216" t="s">
        <v>347</v>
      </c>
      <c r="C26" s="217">
        <v>4301.0</v>
      </c>
      <c r="D26" s="217">
        <v>85.0</v>
      </c>
      <c r="E26" s="216" t="s">
        <v>374</v>
      </c>
      <c r="F26" s="212" t="s">
        <v>382</v>
      </c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  <c r="AA26" s="200"/>
    </row>
    <row r="27" ht="15.75" customHeight="1">
      <c r="A27" s="162" t="s">
        <v>383</v>
      </c>
      <c r="B27" s="216"/>
      <c r="C27" s="217"/>
      <c r="D27" s="217"/>
      <c r="E27" s="216"/>
      <c r="F27" s="219" t="s">
        <v>384</v>
      </c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  <c r="AA27" s="200"/>
    </row>
    <row r="28" ht="15.75" customHeight="1">
      <c r="A28" s="225"/>
      <c r="B28" s="226"/>
      <c r="C28" s="227"/>
      <c r="D28" s="227"/>
      <c r="E28" s="226"/>
      <c r="F28" s="228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t="15.75" customHeight="1">
      <c r="A29" s="229" t="s">
        <v>385</v>
      </c>
      <c r="B29" s="216"/>
      <c r="C29" s="218">
        <v>231902.0</v>
      </c>
      <c r="D29" s="218">
        <v>544.49</v>
      </c>
      <c r="E29" s="230"/>
      <c r="F29" s="212" t="s">
        <v>386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t="15.75" customHeight="1">
      <c r="A30" s="229" t="s">
        <v>304</v>
      </c>
      <c r="B30" s="216"/>
      <c r="C30" s="211">
        <v>2329.0</v>
      </c>
      <c r="D30" s="213">
        <v>52.0</v>
      </c>
      <c r="E30" s="230"/>
      <c r="F30" s="212" t="s">
        <v>387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t="15.75" customHeight="1">
      <c r="A31" s="162" t="s">
        <v>388</v>
      </c>
      <c r="B31" s="216"/>
      <c r="C31" s="218">
        <v>231310.0</v>
      </c>
      <c r="D31" s="218">
        <v>9.0</v>
      </c>
      <c r="E31" s="216"/>
      <c r="F31" s="219" t="s">
        <v>389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t="15.75" customHeight="1">
      <c r="A32" s="231" t="s">
        <v>390</v>
      </c>
      <c r="B32" s="230"/>
      <c r="C32" s="213">
        <v>233232.0</v>
      </c>
      <c r="D32" s="213">
        <v>17.0</v>
      </c>
      <c r="E32" s="212"/>
      <c r="F32" s="212" t="s">
        <v>391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t="15.75" customHeight="1">
      <c r="A33" s="231" t="s">
        <v>392</v>
      </c>
      <c r="B33" s="230"/>
      <c r="C33" s="213"/>
      <c r="D33" s="213"/>
      <c r="E33" s="212"/>
      <c r="F33" s="212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t="15.75" customHeight="1">
      <c r="A34" s="225"/>
      <c r="B34" s="226"/>
      <c r="C34" s="227"/>
      <c r="D34" s="227"/>
      <c r="E34" s="226"/>
      <c r="F34" s="228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t="15.75" customHeight="1">
      <c r="A35" s="229" t="s">
        <v>393</v>
      </c>
      <c r="B35" s="216"/>
      <c r="C35" s="218"/>
      <c r="D35" s="218">
        <v>85.0</v>
      </c>
      <c r="E35" s="230"/>
      <c r="F35" s="219" t="s">
        <v>394</v>
      </c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t="15.75" customHeight="1">
      <c r="A36" s="229" t="s">
        <v>395</v>
      </c>
      <c r="B36" s="216"/>
      <c r="C36" s="211"/>
      <c r="D36" s="213">
        <v>51.0</v>
      </c>
      <c r="E36" s="230"/>
      <c r="F36" s="219" t="s">
        <v>396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t="15.75" customHeight="1">
      <c r="A37" s="162" t="s">
        <v>397</v>
      </c>
      <c r="B37" s="216"/>
      <c r="C37" s="218"/>
      <c r="D37" s="218">
        <v>17.0</v>
      </c>
      <c r="E37" s="216"/>
      <c r="F37" s="21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t="15.75" customHeight="1">
      <c r="A38" s="28"/>
      <c r="B38" s="28"/>
      <c r="C38" s="28"/>
      <c r="D38" s="28"/>
      <c r="E38" s="28"/>
      <c r="F38" s="28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t="15.75" customHeight="1">
      <c r="A39" s="28"/>
      <c r="B39" s="28"/>
      <c r="C39" s="28"/>
      <c r="D39" s="28"/>
      <c r="E39" s="28"/>
      <c r="F39" s="28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t="15.75" customHeight="1">
      <c r="A40" s="28"/>
      <c r="B40" s="28"/>
      <c r="C40" s="28"/>
      <c r="D40" s="28"/>
      <c r="E40" s="28"/>
      <c r="F40" s="28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t="15.75" customHeight="1">
      <c r="A41" s="28"/>
      <c r="B41" s="28"/>
      <c r="C41" s="28"/>
      <c r="D41" s="28"/>
      <c r="E41" s="28"/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t="15.75" customHeight="1">
      <c r="A42" s="28"/>
      <c r="B42" s="28"/>
      <c r="C42" s="28"/>
      <c r="D42" s="28"/>
      <c r="E42" s="28"/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t="15.75" customHeight="1">
      <c r="A43" s="28"/>
      <c r="B43" s="28"/>
      <c r="C43" s="28"/>
      <c r="D43" s="28"/>
      <c r="E43" s="28"/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t="15.75" customHeight="1">
      <c r="A44" s="28"/>
      <c r="B44" s="28"/>
      <c r="C44" s="28"/>
      <c r="D44" s="28"/>
      <c r="E44" s="28"/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t="15.75" customHeight="1">
      <c r="A45" s="28"/>
      <c r="B45" s="28"/>
      <c r="C45" s="28"/>
      <c r="D45" s="28"/>
      <c r="E45" s="28"/>
      <c r="F45" s="28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t="15.75" customHeight="1">
      <c r="A46" s="28"/>
      <c r="B46" s="28"/>
      <c r="C46" s="28"/>
      <c r="D46" s="28"/>
      <c r="E46" s="28"/>
      <c r="F46" s="28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t="15.75" customHeight="1">
      <c r="A47" s="28"/>
      <c r="B47" s="28"/>
      <c r="C47" s="28"/>
      <c r="D47" s="28"/>
      <c r="E47" s="28"/>
      <c r="F47" s="28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t="15.75" customHeight="1">
      <c r="A48" s="28"/>
      <c r="B48" s="28"/>
      <c r="C48" s="28"/>
      <c r="D48" s="28"/>
      <c r="E48" s="28"/>
      <c r="F48" s="28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t="15.75" customHeight="1">
      <c r="A49" s="28"/>
      <c r="B49" s="28"/>
      <c r="C49" s="28"/>
      <c r="D49" s="28"/>
      <c r="E49" s="28"/>
      <c r="F49" s="28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t="15.75" customHeight="1">
      <c r="A50" s="28"/>
      <c r="B50" s="28"/>
      <c r="C50" s="28"/>
      <c r="D50" s="28"/>
      <c r="E50" s="28"/>
      <c r="F50" s="28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ht="15.75" customHeight="1">
      <c r="A51" s="28"/>
      <c r="B51" s="28"/>
      <c r="C51" s="28"/>
      <c r="D51" s="28"/>
      <c r="E51" s="28"/>
      <c r="F51" s="28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t="15.75" customHeight="1">
      <c r="A52" s="28"/>
      <c r="B52" s="28"/>
      <c r="C52" s="28"/>
      <c r="D52" s="28"/>
      <c r="E52" s="28"/>
      <c r="F52" s="28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t="15.75" customHeight="1">
      <c r="A53" s="28"/>
      <c r="B53" s="28"/>
      <c r="C53" s="28"/>
      <c r="D53" s="28"/>
      <c r="E53" s="28"/>
      <c r="F53" s="28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ht="15.75" customHeight="1">
      <c r="A54" s="28"/>
      <c r="B54" s="28"/>
      <c r="C54" s="28"/>
      <c r="D54" s="28"/>
      <c r="E54" s="28"/>
      <c r="F54" s="2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ht="15.75" customHeight="1">
      <c r="A55" s="28"/>
      <c r="B55" s="28"/>
      <c r="C55" s="28"/>
      <c r="D55" s="28"/>
      <c r="E55" s="28"/>
      <c r="F55" s="28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ht="15.75" customHeight="1">
      <c r="A56" s="28"/>
      <c r="B56" s="28"/>
      <c r="C56" s="28"/>
      <c r="D56" s="28"/>
      <c r="E56" s="28"/>
      <c r="F56" s="28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ht="15.75" customHeight="1">
      <c r="A57" s="28"/>
      <c r="B57" s="28"/>
      <c r="C57" s="28"/>
      <c r="D57" s="28"/>
      <c r="E57" s="28"/>
      <c r="F57" s="28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ht="15.75" customHeight="1">
      <c r="A58" s="28"/>
      <c r="B58" s="28"/>
      <c r="C58" s="28"/>
      <c r="D58" s="28"/>
      <c r="E58" s="28"/>
      <c r="F58" s="28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t="15.75" customHeight="1">
      <c r="A59" s="28"/>
      <c r="B59" s="28"/>
      <c r="C59" s="28"/>
      <c r="D59" s="28"/>
      <c r="E59" s="28"/>
      <c r="F59" s="28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ht="15.75" customHeight="1">
      <c r="A60" s="28"/>
      <c r="B60" s="28"/>
      <c r="C60" s="28"/>
      <c r="D60" s="28"/>
      <c r="E60" s="28"/>
      <c r="F60" s="28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t="15.75" customHeight="1">
      <c r="A61" s="28"/>
      <c r="B61" s="28"/>
      <c r="C61" s="28"/>
      <c r="D61" s="28"/>
      <c r="E61" s="28"/>
      <c r="F61" s="28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ht="15.75" customHeight="1">
      <c r="A62" s="28"/>
      <c r="B62" s="28"/>
      <c r="C62" s="28"/>
      <c r="D62" s="28"/>
      <c r="E62" s="28"/>
      <c r="F62" s="28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ht="15.75" customHeight="1">
      <c r="A63" s="28"/>
      <c r="B63" s="28"/>
      <c r="C63" s="28"/>
      <c r="D63" s="28"/>
      <c r="E63" s="28"/>
      <c r="F63" s="28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ht="15.75" customHeight="1">
      <c r="A64" s="28"/>
      <c r="B64" s="28"/>
      <c r="C64" s="28"/>
      <c r="D64" s="28"/>
      <c r="E64" s="28"/>
      <c r="F64" s="28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ht="15.75" customHeight="1">
      <c r="A65" s="28"/>
      <c r="B65" s="28"/>
      <c r="C65" s="28"/>
      <c r="D65" s="28"/>
      <c r="E65" s="28"/>
      <c r="F65" s="28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ht="15.75" customHeight="1">
      <c r="A66" s="28"/>
      <c r="B66" s="28"/>
      <c r="C66" s="28"/>
      <c r="D66" s="28"/>
      <c r="E66" s="28"/>
      <c r="F66" s="28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ht="15.75" customHeight="1">
      <c r="A67" s="28"/>
      <c r="B67" s="28"/>
      <c r="C67" s="28"/>
      <c r="D67" s="28"/>
      <c r="E67" s="28"/>
      <c r="F67" s="28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ht="15.75" customHeight="1">
      <c r="A68" s="28"/>
      <c r="B68" s="28"/>
      <c r="C68" s="28"/>
      <c r="D68" s="28"/>
      <c r="E68" s="28"/>
      <c r="F68" s="28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ht="15.75" customHeight="1">
      <c r="A69" s="28"/>
      <c r="B69" s="28"/>
      <c r="C69" s="28"/>
      <c r="D69" s="28"/>
      <c r="E69" s="28"/>
      <c r="F69" s="28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ht="15.75" customHeight="1">
      <c r="A70" s="28"/>
      <c r="B70" s="28"/>
      <c r="C70" s="28"/>
      <c r="D70" s="28"/>
      <c r="E70" s="28"/>
      <c r="F70" s="28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ht="15.75" customHeight="1">
      <c r="A71" s="28"/>
      <c r="B71" s="28"/>
      <c r="C71" s="28"/>
      <c r="D71" s="28"/>
      <c r="E71" s="28"/>
      <c r="F71" s="28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ht="15.75" customHeight="1">
      <c r="A72" s="28"/>
      <c r="B72" s="28"/>
      <c r="C72" s="28"/>
      <c r="D72" s="28"/>
      <c r="E72" s="28"/>
      <c r="F72" s="28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ht="15.75" customHeight="1">
      <c r="A73" s="28"/>
      <c r="B73" s="28"/>
      <c r="C73" s="28"/>
      <c r="D73" s="28"/>
      <c r="E73" s="28"/>
      <c r="F73" s="28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ht="15.75" customHeight="1">
      <c r="A74" s="28"/>
      <c r="B74" s="28"/>
      <c r="C74" s="28"/>
      <c r="D74" s="28"/>
      <c r="E74" s="28"/>
      <c r="F74" s="28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ht="15.75" customHeight="1">
      <c r="A75" s="28"/>
      <c r="B75" s="28"/>
      <c r="C75" s="28"/>
      <c r="D75" s="28"/>
      <c r="E75" s="28"/>
      <c r="F75" s="28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ht="15.75" customHeight="1">
      <c r="A76" s="28"/>
      <c r="B76" s="28"/>
      <c r="C76" s="28"/>
      <c r="D76" s="28"/>
      <c r="E76" s="28"/>
      <c r="F76" s="28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ht="15.75" customHeight="1">
      <c r="A77" s="28"/>
      <c r="B77" s="28"/>
      <c r="C77" s="28"/>
      <c r="D77" s="28"/>
      <c r="E77" s="28"/>
      <c r="F77" s="28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ht="15.75" customHeight="1">
      <c r="A78" s="28"/>
      <c r="B78" s="28"/>
      <c r="C78" s="28"/>
      <c r="D78" s="28"/>
      <c r="E78" s="28"/>
      <c r="F78" s="28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ht="15.75" customHeight="1">
      <c r="A79" s="28"/>
      <c r="B79" s="28"/>
      <c r="C79" s="28"/>
      <c r="D79" s="28"/>
      <c r="E79" s="28"/>
      <c r="F79" s="28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ht="15.75" customHeight="1">
      <c r="A80" s="28"/>
      <c r="B80" s="28"/>
      <c r="C80" s="28"/>
      <c r="D80" s="28"/>
      <c r="E80" s="28"/>
      <c r="F80" s="28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ht="15.75" customHeight="1">
      <c r="A81" s="28"/>
      <c r="B81" s="28"/>
      <c r="C81" s="28"/>
      <c r="D81" s="28"/>
      <c r="E81" s="28"/>
      <c r="F81" s="28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ht="15.75" customHeight="1">
      <c r="A82" s="28"/>
      <c r="B82" s="28"/>
      <c r="C82" s="28"/>
      <c r="D82" s="28"/>
      <c r="E82" s="28"/>
      <c r="F82" s="28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ht="15.75" customHeight="1">
      <c r="A83" s="28"/>
      <c r="B83" s="28"/>
      <c r="C83" s="28"/>
      <c r="D83" s="28"/>
      <c r="E83" s="28"/>
      <c r="F83" s="28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ht="15.75" customHeight="1">
      <c r="A84" s="28"/>
      <c r="B84" s="28"/>
      <c r="C84" s="28"/>
      <c r="D84" s="28"/>
      <c r="E84" s="28"/>
      <c r="F84" s="28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ht="15.75" customHeight="1">
      <c r="A85" s="28"/>
      <c r="B85" s="28"/>
      <c r="C85" s="28"/>
      <c r="D85" s="28"/>
      <c r="E85" s="28"/>
      <c r="F85" s="28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ht="15.75" customHeight="1">
      <c r="A86" s="28"/>
      <c r="B86" s="28"/>
      <c r="C86" s="28"/>
      <c r="D86" s="28"/>
      <c r="E86" s="28"/>
      <c r="F86" s="28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ht="15.75" customHeight="1">
      <c r="A87" s="28"/>
      <c r="B87" s="28"/>
      <c r="C87" s="28"/>
      <c r="D87" s="28"/>
      <c r="E87" s="28"/>
      <c r="F87" s="28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ht="15.75" customHeight="1">
      <c r="A88" s="28"/>
      <c r="B88" s="28"/>
      <c r="C88" s="28"/>
      <c r="D88" s="28"/>
      <c r="E88" s="28"/>
      <c r="F88" s="28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ht="15.75" customHeight="1">
      <c r="A89" s="28"/>
      <c r="B89" s="28"/>
      <c r="C89" s="28"/>
      <c r="D89" s="28"/>
      <c r="E89" s="28"/>
      <c r="F89" s="28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ht="15.75" customHeight="1">
      <c r="A90" s="28"/>
      <c r="B90" s="28"/>
      <c r="C90" s="28"/>
      <c r="D90" s="28"/>
      <c r="E90" s="28"/>
      <c r="F90" s="28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ht="15.75" customHeight="1">
      <c r="A91" s="28"/>
      <c r="B91" s="28"/>
      <c r="C91" s="28"/>
      <c r="D91" s="28"/>
      <c r="E91" s="28"/>
      <c r="F91" s="28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 ht="15.75" customHeight="1">
      <c r="A92" s="28"/>
      <c r="B92" s="28"/>
      <c r="C92" s="28"/>
      <c r="D92" s="28"/>
      <c r="E92" s="28"/>
      <c r="F92" s="28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ht="15.75" customHeight="1">
      <c r="A93" s="28"/>
      <c r="B93" s="28"/>
      <c r="C93" s="28"/>
      <c r="D93" s="28"/>
      <c r="E93" s="28"/>
      <c r="F93" s="28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 ht="15.75" customHeight="1">
      <c r="A94" s="28"/>
      <c r="B94" s="28"/>
      <c r="C94" s="28"/>
      <c r="D94" s="28"/>
      <c r="E94" s="28"/>
      <c r="F94" s="28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ht="15.75" customHeight="1">
      <c r="A95" s="28"/>
      <c r="B95" s="28"/>
      <c r="C95" s="28"/>
      <c r="D95" s="28"/>
      <c r="E95" s="28"/>
      <c r="F95" s="28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ht="15.75" customHeight="1">
      <c r="A96" s="28"/>
      <c r="B96" s="28"/>
      <c r="C96" s="28"/>
      <c r="D96" s="28"/>
      <c r="E96" s="28"/>
      <c r="F96" s="28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 ht="15.75" customHeight="1">
      <c r="A97" s="28"/>
      <c r="B97" s="28"/>
      <c r="C97" s="28"/>
      <c r="D97" s="28"/>
      <c r="E97" s="28"/>
      <c r="F97" s="28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ht="15.75" customHeight="1">
      <c r="A98" s="28"/>
      <c r="B98" s="28"/>
      <c r="C98" s="28"/>
      <c r="D98" s="28"/>
      <c r="E98" s="28"/>
      <c r="F98" s="28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ht="15.75" customHeight="1">
      <c r="A99" s="28"/>
      <c r="B99" s="28"/>
      <c r="C99" s="28"/>
      <c r="D99" s="28"/>
      <c r="E99" s="28"/>
      <c r="F99" s="28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 ht="15.75" customHeight="1">
      <c r="A100" s="28"/>
      <c r="B100" s="28"/>
      <c r="C100" s="28"/>
      <c r="D100" s="28"/>
      <c r="E100" s="28"/>
      <c r="F100" s="28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 ht="15.75" customHeight="1">
      <c r="A101" s="28"/>
      <c r="B101" s="28"/>
      <c r="C101" s="28"/>
      <c r="D101" s="28"/>
      <c r="E101" s="28"/>
      <c r="F101" s="28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 ht="15.75" customHeight="1">
      <c r="A102" s="28"/>
      <c r="B102" s="28"/>
      <c r="C102" s="28"/>
      <c r="D102" s="28"/>
      <c r="E102" s="28"/>
      <c r="F102" s="28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 ht="15.75" customHeight="1">
      <c r="A103" s="28"/>
      <c r="B103" s="28"/>
      <c r="C103" s="28"/>
      <c r="D103" s="28"/>
      <c r="E103" s="28"/>
      <c r="F103" s="28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 ht="15.75" customHeight="1">
      <c r="A104" s="28"/>
      <c r="B104" s="28"/>
      <c r="C104" s="28"/>
      <c r="D104" s="28"/>
      <c r="E104" s="28"/>
      <c r="F104" s="28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 ht="15.75" customHeight="1">
      <c r="A105" s="28"/>
      <c r="B105" s="28"/>
      <c r="C105" s="28"/>
      <c r="D105" s="28"/>
      <c r="E105" s="28"/>
      <c r="F105" s="28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 ht="15.75" customHeight="1">
      <c r="A106" s="28"/>
      <c r="B106" s="28"/>
      <c r="C106" s="28"/>
      <c r="D106" s="28"/>
      <c r="E106" s="28"/>
      <c r="F106" s="28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ht="15.75" customHeight="1">
      <c r="A107" s="28"/>
      <c r="B107" s="28"/>
      <c r="C107" s="28"/>
      <c r="D107" s="28"/>
      <c r="E107" s="28"/>
      <c r="F107" s="28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ht="15.75" customHeight="1">
      <c r="A108" s="28"/>
      <c r="B108" s="28"/>
      <c r="C108" s="28"/>
      <c r="D108" s="28"/>
      <c r="E108" s="28"/>
      <c r="F108" s="28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 ht="15.75" customHeight="1">
      <c r="A109" s="28"/>
      <c r="B109" s="28"/>
      <c r="C109" s="28"/>
      <c r="D109" s="28"/>
      <c r="E109" s="28"/>
      <c r="F109" s="28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 ht="15.75" customHeight="1">
      <c r="A110" s="28"/>
      <c r="B110" s="28"/>
      <c r="C110" s="28"/>
      <c r="D110" s="28"/>
      <c r="E110" s="28"/>
      <c r="F110" s="28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ht="15.75" customHeight="1">
      <c r="A111" s="28"/>
      <c r="B111" s="28"/>
      <c r="C111" s="28"/>
      <c r="D111" s="28"/>
      <c r="E111" s="28"/>
      <c r="F111" s="28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 ht="15.75" customHeight="1">
      <c r="A112" s="28"/>
      <c r="B112" s="28"/>
      <c r="C112" s="28"/>
      <c r="D112" s="28"/>
      <c r="E112" s="28"/>
      <c r="F112" s="28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ht="15.75" customHeight="1">
      <c r="A113" s="28"/>
      <c r="B113" s="28"/>
      <c r="C113" s="28"/>
      <c r="D113" s="28"/>
      <c r="E113" s="28"/>
      <c r="F113" s="28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 ht="15.75" customHeight="1">
      <c r="A114" s="28"/>
      <c r="B114" s="28"/>
      <c r="C114" s="28"/>
      <c r="D114" s="28"/>
      <c r="E114" s="28"/>
      <c r="F114" s="28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ht="15.75" customHeight="1">
      <c r="A115" s="28"/>
      <c r="B115" s="28"/>
      <c r="C115" s="28"/>
      <c r="D115" s="28"/>
      <c r="E115" s="28"/>
      <c r="F115" s="28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 ht="15.75" customHeight="1">
      <c r="A116" s="28"/>
      <c r="B116" s="28"/>
      <c r="C116" s="28"/>
      <c r="D116" s="28"/>
      <c r="E116" s="28"/>
      <c r="F116" s="28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 ht="15.75" customHeight="1">
      <c r="A117" s="28"/>
      <c r="B117" s="28"/>
      <c r="C117" s="28"/>
      <c r="D117" s="28"/>
      <c r="E117" s="28"/>
      <c r="F117" s="28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 ht="15.75" customHeight="1">
      <c r="A118" s="28"/>
      <c r="B118" s="28"/>
      <c r="C118" s="28"/>
      <c r="D118" s="28"/>
      <c r="E118" s="28"/>
      <c r="F118" s="28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 ht="15.75" customHeight="1">
      <c r="A119" s="28"/>
      <c r="B119" s="28"/>
      <c r="C119" s="28"/>
      <c r="D119" s="28"/>
      <c r="E119" s="28"/>
      <c r="F119" s="28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ht="15.75" customHeight="1">
      <c r="A120" s="28"/>
      <c r="B120" s="28"/>
      <c r="C120" s="28"/>
      <c r="D120" s="28"/>
      <c r="E120" s="28"/>
      <c r="F120" s="28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 ht="15.75" customHeight="1">
      <c r="A121" s="28"/>
      <c r="B121" s="28"/>
      <c r="C121" s="28"/>
      <c r="D121" s="28"/>
      <c r="E121" s="28"/>
      <c r="F121" s="28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ht="15.75" customHeight="1">
      <c r="A122" s="28"/>
      <c r="B122" s="28"/>
      <c r="C122" s="28"/>
      <c r="D122" s="28"/>
      <c r="E122" s="28"/>
      <c r="F122" s="28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 ht="15.75" customHeight="1">
      <c r="A123" s="28"/>
      <c r="B123" s="28"/>
      <c r="C123" s="28"/>
      <c r="D123" s="28"/>
      <c r="E123" s="28"/>
      <c r="F123" s="28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ht="15.75" customHeight="1">
      <c r="A124" s="28"/>
      <c r="B124" s="28"/>
      <c r="C124" s="28"/>
      <c r="D124" s="28"/>
      <c r="E124" s="28"/>
      <c r="F124" s="28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ht="15.75" customHeight="1">
      <c r="A125" s="28"/>
      <c r="B125" s="28"/>
      <c r="C125" s="28"/>
      <c r="D125" s="28"/>
      <c r="E125" s="28"/>
      <c r="F125" s="28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ht="15.75" customHeight="1">
      <c r="A126" s="28"/>
      <c r="B126" s="28"/>
      <c r="C126" s="28"/>
      <c r="D126" s="28"/>
      <c r="E126" s="28"/>
      <c r="F126" s="28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 ht="15.75" customHeight="1">
      <c r="A127" s="28"/>
      <c r="B127" s="28"/>
      <c r="C127" s="28"/>
      <c r="D127" s="28"/>
      <c r="E127" s="28"/>
      <c r="F127" s="28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 ht="15.75" customHeight="1">
      <c r="A128" s="28"/>
      <c r="B128" s="28"/>
      <c r="C128" s="28"/>
      <c r="D128" s="28"/>
      <c r="E128" s="28"/>
      <c r="F128" s="28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 ht="15.75" customHeight="1">
      <c r="A129" s="28"/>
      <c r="B129" s="28"/>
      <c r="C129" s="28"/>
      <c r="D129" s="28"/>
      <c r="E129" s="28"/>
      <c r="F129" s="28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 ht="15.75" customHeight="1">
      <c r="A130" s="28"/>
      <c r="B130" s="28"/>
      <c r="C130" s="28"/>
      <c r="D130" s="28"/>
      <c r="E130" s="28"/>
      <c r="F130" s="28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 ht="15.75" customHeight="1">
      <c r="A131" s="28"/>
      <c r="B131" s="28"/>
      <c r="C131" s="28"/>
      <c r="D131" s="28"/>
      <c r="E131" s="28"/>
      <c r="F131" s="28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 ht="15.75" customHeight="1">
      <c r="A132" s="28"/>
      <c r="B132" s="28"/>
      <c r="C132" s="28"/>
      <c r="D132" s="28"/>
      <c r="E132" s="28"/>
      <c r="F132" s="28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 ht="15.75" customHeight="1">
      <c r="A133" s="28"/>
      <c r="B133" s="28"/>
      <c r="C133" s="28"/>
      <c r="D133" s="28"/>
      <c r="E133" s="28"/>
      <c r="F133" s="28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 ht="15.75" customHeight="1">
      <c r="A134" s="28"/>
      <c r="B134" s="28"/>
      <c r="C134" s="28"/>
      <c r="D134" s="28"/>
      <c r="E134" s="28"/>
      <c r="F134" s="28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 ht="15.75" customHeight="1">
      <c r="A135" s="28"/>
      <c r="B135" s="28"/>
      <c r="C135" s="28"/>
      <c r="D135" s="28"/>
      <c r="E135" s="28"/>
      <c r="F135" s="28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 ht="15.75" customHeight="1">
      <c r="A136" s="28"/>
      <c r="B136" s="28"/>
      <c r="C136" s="28"/>
      <c r="D136" s="28"/>
      <c r="E136" s="28"/>
      <c r="F136" s="28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 ht="15.75" customHeight="1">
      <c r="A137" s="28"/>
      <c r="B137" s="28"/>
      <c r="C137" s="28"/>
      <c r="D137" s="28"/>
      <c r="E137" s="28"/>
      <c r="F137" s="28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 ht="15.75" customHeight="1">
      <c r="A138" s="28"/>
      <c r="B138" s="28"/>
      <c r="C138" s="28"/>
      <c r="D138" s="28"/>
      <c r="E138" s="28"/>
      <c r="F138" s="28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 ht="15.75" customHeight="1">
      <c r="A139" s="28"/>
      <c r="B139" s="28"/>
      <c r="C139" s="28"/>
      <c r="D139" s="28"/>
      <c r="E139" s="28"/>
      <c r="F139" s="28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 ht="15.75" customHeight="1">
      <c r="A140" s="28"/>
      <c r="B140" s="28"/>
      <c r="C140" s="28"/>
      <c r="D140" s="28"/>
      <c r="E140" s="28"/>
      <c r="F140" s="28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 ht="15.75" customHeight="1">
      <c r="A141" s="28"/>
      <c r="B141" s="28"/>
      <c r="C141" s="28"/>
      <c r="D141" s="28"/>
      <c r="E141" s="28"/>
      <c r="F141" s="28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 ht="15.75" customHeight="1">
      <c r="A142" s="28"/>
      <c r="B142" s="28"/>
      <c r="C142" s="28"/>
      <c r="D142" s="28"/>
      <c r="E142" s="28"/>
      <c r="F142" s="28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 ht="15.75" customHeight="1">
      <c r="A143" s="28"/>
      <c r="B143" s="28"/>
      <c r="C143" s="28"/>
      <c r="D143" s="28"/>
      <c r="E143" s="28"/>
      <c r="F143" s="28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 ht="15.75" customHeight="1">
      <c r="A144" s="28"/>
      <c r="B144" s="28"/>
      <c r="C144" s="28"/>
      <c r="D144" s="28"/>
      <c r="E144" s="28"/>
      <c r="F144" s="28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 ht="15.75" customHeight="1">
      <c r="A145" s="28"/>
      <c r="B145" s="28"/>
      <c r="C145" s="28"/>
      <c r="D145" s="28"/>
      <c r="E145" s="28"/>
      <c r="F145" s="28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 ht="15.75" customHeight="1">
      <c r="A146" s="28"/>
      <c r="B146" s="28"/>
      <c r="C146" s="28"/>
      <c r="D146" s="28"/>
      <c r="E146" s="28"/>
      <c r="F146" s="28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 ht="15.75" customHeight="1">
      <c r="A147" s="28"/>
      <c r="B147" s="28"/>
      <c r="C147" s="28"/>
      <c r="D147" s="28"/>
      <c r="E147" s="28"/>
      <c r="F147" s="28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 ht="15.75" customHeight="1">
      <c r="A148" s="28"/>
      <c r="B148" s="28"/>
      <c r="C148" s="28"/>
      <c r="D148" s="28"/>
      <c r="E148" s="28"/>
      <c r="F148" s="28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 ht="15.75" customHeight="1">
      <c r="A149" s="28"/>
      <c r="B149" s="28"/>
      <c r="C149" s="28"/>
      <c r="D149" s="28"/>
      <c r="E149" s="28"/>
      <c r="F149" s="28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 ht="15.75" customHeight="1">
      <c r="A150" s="28"/>
      <c r="B150" s="28"/>
      <c r="C150" s="28"/>
      <c r="D150" s="28"/>
      <c r="E150" s="28"/>
      <c r="F150" s="28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 ht="15.75" customHeight="1">
      <c r="A151" s="28"/>
      <c r="B151" s="28"/>
      <c r="C151" s="28"/>
      <c r="D151" s="28"/>
      <c r="E151" s="28"/>
      <c r="F151" s="28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 ht="15.75" customHeight="1">
      <c r="A152" s="28"/>
      <c r="B152" s="28"/>
      <c r="C152" s="28"/>
      <c r="D152" s="28"/>
      <c r="E152" s="28"/>
      <c r="F152" s="28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 ht="15.75" customHeight="1">
      <c r="A153" s="28"/>
      <c r="B153" s="28"/>
      <c r="C153" s="28"/>
      <c r="D153" s="28"/>
      <c r="E153" s="28"/>
      <c r="F153" s="28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 ht="15.75" customHeight="1">
      <c r="A154" s="28"/>
      <c r="B154" s="28"/>
      <c r="C154" s="28"/>
      <c r="D154" s="28"/>
      <c r="E154" s="28"/>
      <c r="F154" s="28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 ht="15.75" customHeight="1">
      <c r="A155" s="28"/>
      <c r="B155" s="28"/>
      <c r="C155" s="28"/>
      <c r="D155" s="28"/>
      <c r="E155" s="28"/>
      <c r="F155" s="28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 ht="15.75" customHeight="1">
      <c r="A156" s="28"/>
      <c r="B156" s="28"/>
      <c r="C156" s="28"/>
      <c r="D156" s="28"/>
      <c r="E156" s="28"/>
      <c r="F156" s="28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 ht="15.75" customHeight="1">
      <c r="A157" s="28"/>
      <c r="B157" s="28"/>
      <c r="C157" s="28"/>
      <c r="D157" s="28"/>
      <c r="E157" s="28"/>
      <c r="F157" s="28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ht="15.75" customHeight="1">
      <c r="A158" s="28"/>
      <c r="B158" s="28"/>
      <c r="C158" s="28"/>
      <c r="D158" s="28"/>
      <c r="E158" s="28"/>
      <c r="F158" s="28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 ht="15.75" customHeight="1">
      <c r="A159" s="28"/>
      <c r="B159" s="28"/>
      <c r="C159" s="28"/>
      <c r="D159" s="28"/>
      <c r="E159" s="28"/>
      <c r="F159" s="28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 ht="15.75" customHeight="1">
      <c r="A160" s="28"/>
      <c r="B160" s="28"/>
      <c r="C160" s="28"/>
      <c r="D160" s="28"/>
      <c r="E160" s="28"/>
      <c r="F160" s="28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 ht="15.75" customHeight="1">
      <c r="A161" s="28"/>
      <c r="B161" s="28"/>
      <c r="C161" s="28"/>
      <c r="D161" s="28"/>
      <c r="E161" s="28"/>
      <c r="F161" s="28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 ht="15.75" customHeight="1">
      <c r="A162" s="28"/>
      <c r="B162" s="28"/>
      <c r="C162" s="28"/>
      <c r="D162" s="28"/>
      <c r="E162" s="28"/>
      <c r="F162" s="28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 ht="15.75" customHeight="1">
      <c r="A163" s="28"/>
      <c r="B163" s="28"/>
      <c r="C163" s="28"/>
      <c r="D163" s="28"/>
      <c r="E163" s="28"/>
      <c r="F163" s="28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 ht="15.75" customHeight="1">
      <c r="A164" s="28"/>
      <c r="B164" s="28"/>
      <c r="C164" s="28"/>
      <c r="D164" s="28"/>
      <c r="E164" s="28"/>
      <c r="F164" s="28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 ht="15.75" customHeight="1">
      <c r="A165" s="28"/>
      <c r="B165" s="28"/>
      <c r="C165" s="28"/>
      <c r="D165" s="28"/>
      <c r="E165" s="28"/>
      <c r="F165" s="28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 ht="15.75" customHeight="1">
      <c r="A166" s="28"/>
      <c r="B166" s="28"/>
      <c r="C166" s="28"/>
      <c r="D166" s="28"/>
      <c r="E166" s="28"/>
      <c r="F166" s="28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 ht="15.75" customHeight="1">
      <c r="A167" s="28"/>
      <c r="B167" s="28"/>
      <c r="C167" s="28"/>
      <c r="D167" s="28"/>
      <c r="E167" s="28"/>
      <c r="F167" s="28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ht="15.75" customHeight="1">
      <c r="A168" s="28"/>
      <c r="B168" s="28"/>
      <c r="C168" s="28"/>
      <c r="D168" s="28"/>
      <c r="E168" s="28"/>
      <c r="F168" s="28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ht="15.75" customHeight="1">
      <c r="A169" s="28"/>
      <c r="B169" s="28"/>
      <c r="C169" s="28"/>
      <c r="D169" s="28"/>
      <c r="E169" s="28"/>
      <c r="F169" s="28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ht="15.75" customHeight="1">
      <c r="A170" s="28"/>
      <c r="B170" s="28"/>
      <c r="C170" s="28"/>
      <c r="D170" s="28"/>
      <c r="E170" s="28"/>
      <c r="F170" s="28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ht="15.75" customHeight="1">
      <c r="A171" s="28"/>
      <c r="B171" s="28"/>
      <c r="C171" s="28"/>
      <c r="D171" s="28"/>
      <c r="E171" s="28"/>
      <c r="F171" s="28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ht="15.75" customHeight="1">
      <c r="A172" s="28"/>
      <c r="B172" s="28"/>
      <c r="C172" s="28"/>
      <c r="D172" s="28"/>
      <c r="E172" s="28"/>
      <c r="F172" s="28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ht="15.75" customHeight="1">
      <c r="A173" s="28"/>
      <c r="B173" s="28"/>
      <c r="C173" s="28"/>
      <c r="D173" s="28"/>
      <c r="E173" s="28"/>
      <c r="F173" s="28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ht="15.75" customHeight="1">
      <c r="A174" s="28"/>
      <c r="B174" s="28"/>
      <c r="C174" s="28"/>
      <c r="D174" s="28"/>
      <c r="E174" s="28"/>
      <c r="F174" s="28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ht="15.75" customHeight="1">
      <c r="A175" s="28"/>
      <c r="B175" s="28"/>
      <c r="C175" s="28"/>
      <c r="D175" s="28"/>
      <c r="E175" s="28"/>
      <c r="F175" s="28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ht="15.75" customHeight="1">
      <c r="A176" s="28"/>
      <c r="B176" s="28"/>
      <c r="C176" s="28"/>
      <c r="D176" s="28"/>
      <c r="E176" s="28"/>
      <c r="F176" s="28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ht="15.75" customHeight="1">
      <c r="A177" s="28"/>
      <c r="B177" s="28"/>
      <c r="C177" s="28"/>
      <c r="D177" s="28"/>
      <c r="E177" s="28"/>
      <c r="F177" s="28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ht="15.75" customHeight="1">
      <c r="A178" s="28"/>
      <c r="B178" s="28"/>
      <c r="C178" s="28"/>
      <c r="D178" s="28"/>
      <c r="E178" s="28"/>
      <c r="F178" s="28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ht="15.75" customHeight="1">
      <c r="A179" s="28"/>
      <c r="B179" s="28"/>
      <c r="C179" s="28"/>
      <c r="D179" s="28"/>
      <c r="E179" s="28"/>
      <c r="F179" s="28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ht="15.75" customHeight="1">
      <c r="A180" s="28"/>
      <c r="B180" s="28"/>
      <c r="C180" s="28"/>
      <c r="D180" s="28"/>
      <c r="E180" s="28"/>
      <c r="F180" s="28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ht="15.75" customHeight="1">
      <c r="A181" s="28"/>
      <c r="B181" s="28"/>
      <c r="C181" s="28"/>
      <c r="D181" s="28"/>
      <c r="E181" s="28"/>
      <c r="F181" s="28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ht="15.75" customHeight="1">
      <c r="A182" s="28"/>
      <c r="B182" s="28"/>
      <c r="C182" s="28"/>
      <c r="D182" s="28"/>
      <c r="E182" s="28"/>
      <c r="F182" s="28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ht="15.75" customHeight="1">
      <c r="A183" s="28"/>
      <c r="B183" s="28"/>
      <c r="C183" s="28"/>
      <c r="D183" s="28"/>
      <c r="E183" s="28"/>
      <c r="F183" s="28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ht="15.75" customHeight="1">
      <c r="A184" s="28"/>
      <c r="B184" s="28"/>
      <c r="C184" s="28"/>
      <c r="D184" s="28"/>
      <c r="E184" s="28"/>
      <c r="F184" s="28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ht="15.75" customHeight="1">
      <c r="A185" s="28"/>
      <c r="B185" s="28"/>
      <c r="C185" s="28"/>
      <c r="D185" s="28"/>
      <c r="E185" s="28"/>
      <c r="F185" s="28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ht="15.75" customHeight="1">
      <c r="A186" s="28"/>
      <c r="B186" s="28"/>
      <c r="C186" s="28"/>
      <c r="D186" s="28"/>
      <c r="E186" s="28"/>
      <c r="F186" s="28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ht="15.75" customHeight="1">
      <c r="A187" s="28"/>
      <c r="B187" s="28"/>
      <c r="C187" s="28"/>
      <c r="D187" s="28"/>
      <c r="E187" s="28"/>
      <c r="F187" s="28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ht="15.75" customHeight="1">
      <c r="A188" s="28"/>
      <c r="B188" s="28"/>
      <c r="C188" s="28"/>
      <c r="D188" s="28"/>
      <c r="E188" s="28"/>
      <c r="F188" s="28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ht="15.75" customHeight="1">
      <c r="A189" s="28"/>
      <c r="B189" s="28"/>
      <c r="C189" s="28"/>
      <c r="D189" s="28"/>
      <c r="E189" s="28"/>
      <c r="F189" s="28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ht="15.75" customHeight="1">
      <c r="A190" s="28"/>
      <c r="B190" s="28"/>
      <c r="C190" s="28"/>
      <c r="D190" s="28"/>
      <c r="E190" s="28"/>
      <c r="F190" s="28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ht="15.75" customHeight="1">
      <c r="A191" s="28"/>
      <c r="B191" s="28"/>
      <c r="C191" s="28"/>
      <c r="D191" s="28"/>
      <c r="E191" s="28"/>
      <c r="F191" s="28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ht="15.75" customHeight="1">
      <c r="A192" s="28"/>
      <c r="B192" s="28"/>
      <c r="C192" s="28"/>
      <c r="D192" s="28"/>
      <c r="E192" s="28"/>
      <c r="F192" s="28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ht="15.75" customHeight="1">
      <c r="A193" s="28"/>
      <c r="B193" s="28"/>
      <c r="C193" s="28"/>
      <c r="D193" s="28"/>
      <c r="E193" s="28"/>
      <c r="F193" s="28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ht="15.75" customHeight="1">
      <c r="A194" s="28"/>
      <c r="B194" s="28"/>
      <c r="C194" s="28"/>
      <c r="D194" s="28"/>
      <c r="E194" s="28"/>
      <c r="F194" s="28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ht="15.75" customHeight="1">
      <c r="A195" s="28"/>
      <c r="B195" s="28"/>
      <c r="C195" s="28"/>
      <c r="D195" s="28"/>
      <c r="E195" s="28"/>
      <c r="F195" s="28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ht="15.75" customHeight="1">
      <c r="A196" s="28"/>
      <c r="B196" s="28"/>
      <c r="C196" s="28"/>
      <c r="D196" s="28"/>
      <c r="E196" s="28"/>
      <c r="F196" s="28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ht="15.75" customHeight="1">
      <c r="A197" s="28"/>
      <c r="B197" s="28"/>
      <c r="C197" s="28"/>
      <c r="D197" s="28"/>
      <c r="E197" s="28"/>
      <c r="F197" s="28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ht="15.75" customHeight="1">
      <c r="A198" s="28"/>
      <c r="B198" s="28"/>
      <c r="C198" s="28"/>
      <c r="D198" s="28"/>
      <c r="E198" s="28"/>
      <c r="F198" s="28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ht="15.75" customHeight="1">
      <c r="A199" s="28"/>
      <c r="B199" s="28"/>
      <c r="C199" s="28"/>
      <c r="D199" s="28"/>
      <c r="E199" s="28"/>
      <c r="F199" s="28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 ht="15.75" customHeight="1">
      <c r="A200" s="28"/>
      <c r="B200" s="28"/>
      <c r="C200" s="28"/>
      <c r="D200" s="28"/>
      <c r="E200" s="28"/>
      <c r="F200" s="28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 ht="15.75" customHeight="1">
      <c r="A201" s="28"/>
      <c r="B201" s="28"/>
      <c r="C201" s="28"/>
      <c r="D201" s="28"/>
      <c r="E201" s="28"/>
      <c r="F201" s="28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 ht="15.75" customHeight="1">
      <c r="A202" s="28"/>
      <c r="B202" s="28"/>
      <c r="C202" s="28"/>
      <c r="D202" s="28"/>
      <c r="E202" s="28"/>
      <c r="F202" s="28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 ht="15.75" customHeight="1">
      <c r="A203" s="28"/>
      <c r="B203" s="28"/>
      <c r="C203" s="28"/>
      <c r="D203" s="28"/>
      <c r="E203" s="28"/>
      <c r="F203" s="28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 ht="15.75" customHeight="1">
      <c r="A204" s="28"/>
      <c r="B204" s="28"/>
      <c r="C204" s="28"/>
      <c r="D204" s="28"/>
      <c r="E204" s="28"/>
      <c r="F204" s="28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 ht="15.75" customHeight="1">
      <c r="A205" s="28"/>
      <c r="B205" s="28"/>
      <c r="C205" s="28"/>
      <c r="D205" s="28"/>
      <c r="E205" s="28"/>
      <c r="F205" s="28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 ht="15.75" customHeight="1">
      <c r="A206" s="28"/>
      <c r="B206" s="28"/>
      <c r="C206" s="28"/>
      <c r="D206" s="28"/>
      <c r="E206" s="28"/>
      <c r="F206" s="28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 ht="15.75" customHeight="1">
      <c r="A207" s="28"/>
      <c r="B207" s="28"/>
      <c r="C207" s="28"/>
      <c r="D207" s="28"/>
      <c r="E207" s="28"/>
      <c r="F207" s="28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 ht="15.75" customHeight="1">
      <c r="A208" s="28"/>
      <c r="B208" s="28"/>
      <c r="C208" s="28"/>
      <c r="D208" s="28"/>
      <c r="E208" s="28"/>
      <c r="F208" s="28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 ht="15.75" customHeight="1">
      <c r="A209" s="28"/>
      <c r="B209" s="28"/>
      <c r="C209" s="28"/>
      <c r="D209" s="28"/>
      <c r="E209" s="28"/>
      <c r="F209" s="28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 ht="15.75" customHeight="1">
      <c r="A210" s="28"/>
      <c r="B210" s="28"/>
      <c r="C210" s="28"/>
      <c r="D210" s="28"/>
      <c r="E210" s="28"/>
      <c r="F210" s="28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 ht="15.75" customHeight="1">
      <c r="A211" s="28"/>
      <c r="B211" s="28"/>
      <c r="C211" s="28"/>
      <c r="D211" s="28"/>
      <c r="E211" s="28"/>
      <c r="F211" s="28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 ht="15.75" customHeight="1">
      <c r="A212" s="28"/>
      <c r="B212" s="28"/>
      <c r="C212" s="28"/>
      <c r="D212" s="28"/>
      <c r="E212" s="28"/>
      <c r="F212" s="28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 ht="15.75" customHeight="1">
      <c r="A213" s="28"/>
      <c r="B213" s="28"/>
      <c r="C213" s="28"/>
      <c r="D213" s="28"/>
      <c r="E213" s="28"/>
      <c r="F213" s="28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 ht="15.75" customHeight="1">
      <c r="A214" s="28"/>
      <c r="B214" s="28"/>
      <c r="C214" s="28"/>
      <c r="D214" s="28"/>
      <c r="E214" s="28"/>
      <c r="F214" s="28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 ht="15.75" customHeight="1">
      <c r="A215" s="28"/>
      <c r="B215" s="28"/>
      <c r="C215" s="28"/>
      <c r="D215" s="28"/>
      <c r="E215" s="28"/>
      <c r="F215" s="28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 ht="15.75" customHeight="1">
      <c r="A216" s="28"/>
      <c r="B216" s="28"/>
      <c r="C216" s="28"/>
      <c r="D216" s="28"/>
      <c r="E216" s="28"/>
      <c r="F216" s="28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 ht="15.75" customHeight="1">
      <c r="A217" s="28"/>
      <c r="B217" s="28"/>
      <c r="C217" s="28"/>
      <c r="D217" s="28"/>
      <c r="E217" s="28"/>
      <c r="F217" s="28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 ht="15.75" customHeight="1">
      <c r="A218" s="28"/>
      <c r="B218" s="28"/>
      <c r="C218" s="28"/>
      <c r="D218" s="28"/>
      <c r="E218" s="28"/>
      <c r="F218" s="28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 ht="15.75" customHeight="1">
      <c r="A219" s="28"/>
      <c r="B219" s="28"/>
      <c r="C219" s="28"/>
      <c r="D219" s="28"/>
      <c r="E219" s="28"/>
      <c r="F219" s="28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 ht="15.75" customHeight="1">
      <c r="A220" s="28"/>
      <c r="B220" s="28"/>
      <c r="C220" s="28"/>
      <c r="D220" s="28"/>
      <c r="E220" s="28"/>
      <c r="F220" s="28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 ht="15.75" customHeight="1">
      <c r="A221" s="28"/>
      <c r="B221" s="28"/>
      <c r="C221" s="28"/>
      <c r="D221" s="28"/>
      <c r="E221" s="28"/>
      <c r="F221" s="28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 ht="15.75" customHeight="1">
      <c r="A222" s="28"/>
      <c r="B222" s="28"/>
      <c r="C222" s="28"/>
      <c r="D222" s="28"/>
      <c r="E222" s="28"/>
      <c r="F222" s="28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 ht="15.75" customHeight="1">
      <c r="A223" s="28"/>
      <c r="B223" s="28"/>
      <c r="C223" s="28"/>
      <c r="D223" s="28"/>
      <c r="E223" s="28"/>
      <c r="F223" s="28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 ht="15.75" customHeight="1">
      <c r="A224" s="28"/>
      <c r="B224" s="28"/>
      <c r="C224" s="28"/>
      <c r="D224" s="28"/>
      <c r="E224" s="28"/>
      <c r="F224" s="28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 ht="15.75" customHeight="1">
      <c r="A225" s="28"/>
      <c r="B225" s="28"/>
      <c r="C225" s="28"/>
      <c r="D225" s="28"/>
      <c r="E225" s="28"/>
      <c r="F225" s="28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 ht="15.75" customHeight="1">
      <c r="A226" s="28"/>
      <c r="B226" s="28"/>
      <c r="C226" s="28"/>
      <c r="D226" s="28"/>
      <c r="E226" s="28"/>
      <c r="F226" s="28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 ht="15.75" customHeight="1">
      <c r="A227" s="28"/>
      <c r="B227" s="28"/>
      <c r="C227" s="28"/>
      <c r="D227" s="28"/>
      <c r="E227" s="28"/>
      <c r="F227" s="28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 ht="15.75" customHeight="1">
      <c r="A228" s="28"/>
      <c r="B228" s="28"/>
      <c r="C228" s="28"/>
      <c r="D228" s="28"/>
      <c r="E228" s="28"/>
      <c r="F228" s="28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 ht="15.75" customHeight="1">
      <c r="A229" s="28"/>
      <c r="B229" s="28"/>
      <c r="C229" s="28"/>
      <c r="D229" s="28"/>
      <c r="E229" s="28"/>
      <c r="F229" s="28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 ht="15.75" customHeight="1">
      <c r="A230" s="28"/>
      <c r="B230" s="28"/>
      <c r="C230" s="28"/>
      <c r="D230" s="28"/>
      <c r="E230" s="28"/>
      <c r="F230" s="28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 ht="15.75" customHeight="1">
      <c r="A231" s="28"/>
      <c r="B231" s="28"/>
      <c r="C231" s="28"/>
      <c r="D231" s="28"/>
      <c r="E231" s="28"/>
      <c r="F231" s="28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 ht="15.75" customHeight="1">
      <c r="A232" s="28"/>
      <c r="B232" s="28"/>
      <c r="C232" s="28"/>
      <c r="D232" s="28"/>
      <c r="E232" s="28"/>
      <c r="F232" s="28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 ht="15.75" customHeight="1">
      <c r="A233" s="28"/>
      <c r="B233" s="28"/>
      <c r="C233" s="28"/>
      <c r="D233" s="28"/>
      <c r="E233" s="28"/>
      <c r="F233" s="28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 ht="15.75" customHeight="1">
      <c r="A234" s="28"/>
      <c r="B234" s="28"/>
      <c r="C234" s="28"/>
      <c r="D234" s="28"/>
      <c r="E234" s="28"/>
      <c r="F234" s="28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 ht="15.75" customHeight="1">
      <c r="A235" s="28"/>
      <c r="B235" s="28"/>
      <c r="C235" s="28"/>
      <c r="D235" s="28"/>
      <c r="E235" s="28"/>
      <c r="F235" s="28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 ht="15.75" customHeight="1">
      <c r="A236" s="28"/>
      <c r="B236" s="28"/>
      <c r="C236" s="28"/>
      <c r="D236" s="28"/>
      <c r="E236" s="28"/>
      <c r="F236" s="28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 ht="15.75" customHeight="1">
      <c r="A237" s="28"/>
      <c r="B237" s="28"/>
      <c r="C237" s="28"/>
      <c r="D237" s="28"/>
      <c r="E237" s="28"/>
      <c r="F237" s="28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 ht="15.75" customHeight="1">
      <c r="A238" s="28"/>
      <c r="B238" s="28"/>
      <c r="C238" s="28"/>
      <c r="D238" s="28"/>
      <c r="E238" s="28"/>
      <c r="F238" s="28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 ht="15.75" customHeight="1">
      <c r="A239" s="28"/>
      <c r="B239" s="28"/>
      <c r="C239" s="28"/>
      <c r="D239" s="28"/>
      <c r="E239" s="28"/>
      <c r="F239" s="28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 ht="15.75" customHeight="1">
      <c r="A240" s="28"/>
      <c r="B240" s="28"/>
      <c r="C240" s="28"/>
      <c r="D240" s="28"/>
      <c r="E240" s="28"/>
      <c r="F240" s="28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 ht="15.75" customHeight="1">
      <c r="A241" s="28"/>
      <c r="B241" s="28"/>
      <c r="C241" s="28"/>
      <c r="D241" s="28"/>
      <c r="E241" s="28"/>
      <c r="F241" s="28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 ht="15.75" customHeight="1">
      <c r="A242" s="28"/>
      <c r="B242" s="28"/>
      <c r="C242" s="28"/>
      <c r="D242" s="28"/>
      <c r="E242" s="28"/>
      <c r="F242" s="28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 ht="15.75" customHeight="1">
      <c r="A243" s="28"/>
      <c r="B243" s="28"/>
      <c r="C243" s="28"/>
      <c r="D243" s="28"/>
      <c r="E243" s="28"/>
      <c r="F243" s="28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 ht="15.75" customHeight="1">
      <c r="A244" s="28"/>
      <c r="B244" s="28"/>
      <c r="C244" s="28"/>
      <c r="D244" s="28"/>
      <c r="E244" s="28"/>
      <c r="F244" s="28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 ht="15.75" customHeight="1">
      <c r="A245" s="28"/>
      <c r="B245" s="28"/>
      <c r="C245" s="28"/>
      <c r="D245" s="28"/>
      <c r="E245" s="28"/>
      <c r="F245" s="28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 ht="15.75" customHeight="1">
      <c r="A246" s="28"/>
      <c r="B246" s="28"/>
      <c r="C246" s="28"/>
      <c r="D246" s="28"/>
      <c r="E246" s="28"/>
      <c r="F246" s="28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 ht="15.75" customHeight="1">
      <c r="A247" s="28"/>
      <c r="B247" s="28"/>
      <c r="C247" s="28"/>
      <c r="D247" s="28"/>
      <c r="E247" s="28"/>
      <c r="F247" s="28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 ht="15.75" customHeight="1">
      <c r="A248" s="28"/>
      <c r="B248" s="28"/>
      <c r="C248" s="28"/>
      <c r="D248" s="28"/>
      <c r="E248" s="28"/>
      <c r="F248" s="28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 ht="15.75" customHeight="1">
      <c r="A249" s="28"/>
      <c r="B249" s="28"/>
      <c r="C249" s="28"/>
      <c r="D249" s="28"/>
      <c r="E249" s="28"/>
      <c r="F249" s="28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 ht="15.75" customHeight="1">
      <c r="A250" s="28"/>
      <c r="B250" s="28"/>
      <c r="C250" s="28"/>
      <c r="D250" s="28"/>
      <c r="E250" s="28"/>
      <c r="F250" s="28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 ht="15.75" customHeight="1">
      <c r="A251" s="28"/>
      <c r="B251" s="28"/>
      <c r="C251" s="28"/>
      <c r="D251" s="28"/>
      <c r="E251" s="28"/>
      <c r="F251" s="28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 ht="15.75" customHeight="1">
      <c r="A252" s="28"/>
      <c r="B252" s="28"/>
      <c r="C252" s="28"/>
      <c r="D252" s="28"/>
      <c r="E252" s="28"/>
      <c r="F252" s="28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 ht="15.75" customHeight="1">
      <c r="A253" s="28"/>
      <c r="B253" s="28"/>
      <c r="C253" s="28"/>
      <c r="D253" s="28"/>
      <c r="E253" s="28"/>
      <c r="F253" s="28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 ht="15.75" customHeight="1">
      <c r="A254" s="28"/>
      <c r="B254" s="28"/>
      <c r="C254" s="28"/>
      <c r="D254" s="28"/>
      <c r="E254" s="28"/>
      <c r="F254" s="28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 ht="15.75" customHeight="1">
      <c r="A255" s="28"/>
      <c r="B255" s="28"/>
      <c r="C255" s="28"/>
      <c r="D255" s="28"/>
      <c r="E255" s="28"/>
      <c r="F255" s="28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 ht="15.75" customHeight="1">
      <c r="A256" s="28"/>
      <c r="B256" s="28"/>
      <c r="C256" s="28"/>
      <c r="D256" s="28"/>
      <c r="E256" s="28"/>
      <c r="F256" s="28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 ht="15.75" customHeight="1">
      <c r="A257" s="28"/>
      <c r="B257" s="28"/>
      <c r="C257" s="28"/>
      <c r="D257" s="28"/>
      <c r="E257" s="28"/>
      <c r="F257" s="28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 ht="15.75" customHeight="1">
      <c r="A258" s="28"/>
      <c r="B258" s="28"/>
      <c r="C258" s="28"/>
      <c r="D258" s="28"/>
      <c r="E258" s="28"/>
      <c r="F258" s="28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 ht="15.75" customHeight="1">
      <c r="A259" s="28"/>
      <c r="B259" s="28"/>
      <c r="C259" s="28"/>
      <c r="D259" s="28"/>
      <c r="E259" s="28"/>
      <c r="F259" s="28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 ht="15.75" customHeight="1">
      <c r="A260" s="28"/>
      <c r="B260" s="28"/>
      <c r="C260" s="28"/>
      <c r="D260" s="28"/>
      <c r="E260" s="28"/>
      <c r="F260" s="28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 ht="15.75" customHeight="1">
      <c r="A261" s="28"/>
      <c r="B261" s="28"/>
      <c r="C261" s="28"/>
      <c r="D261" s="28"/>
      <c r="E261" s="28"/>
      <c r="F261" s="28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 ht="15.75" customHeight="1">
      <c r="A262" s="28"/>
      <c r="B262" s="28"/>
      <c r="C262" s="28"/>
      <c r="D262" s="28"/>
      <c r="E262" s="28"/>
      <c r="F262" s="28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 ht="15.75" customHeight="1">
      <c r="A263" s="28"/>
      <c r="B263" s="28"/>
      <c r="C263" s="28"/>
      <c r="D263" s="28"/>
      <c r="E263" s="28"/>
      <c r="F263" s="28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 ht="15.75" customHeight="1">
      <c r="A264" s="28"/>
      <c r="B264" s="28"/>
      <c r="C264" s="28"/>
      <c r="D264" s="28"/>
      <c r="E264" s="28"/>
      <c r="F264" s="28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 ht="15.75" customHeight="1">
      <c r="A265" s="28"/>
      <c r="B265" s="28"/>
      <c r="C265" s="28"/>
      <c r="D265" s="28"/>
      <c r="E265" s="28"/>
      <c r="F265" s="28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 ht="15.75" customHeight="1">
      <c r="A266" s="28"/>
      <c r="B266" s="28"/>
      <c r="C266" s="28"/>
      <c r="D266" s="28"/>
      <c r="E266" s="28"/>
      <c r="F266" s="28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 ht="15.75" customHeight="1">
      <c r="A267" s="28"/>
      <c r="B267" s="28"/>
      <c r="C267" s="28"/>
      <c r="D267" s="28"/>
      <c r="E267" s="28"/>
      <c r="F267" s="28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 ht="15.75" customHeight="1">
      <c r="A268" s="28"/>
      <c r="B268" s="28"/>
      <c r="C268" s="28"/>
      <c r="D268" s="28"/>
      <c r="E268" s="28"/>
      <c r="F268" s="28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 ht="15.75" customHeight="1">
      <c r="A269" s="28"/>
      <c r="B269" s="28"/>
      <c r="C269" s="28"/>
      <c r="D269" s="28"/>
      <c r="E269" s="28"/>
      <c r="F269" s="28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 ht="15.75" customHeight="1">
      <c r="A270" s="28"/>
      <c r="B270" s="28"/>
      <c r="C270" s="28"/>
      <c r="D270" s="28"/>
      <c r="E270" s="28"/>
      <c r="F270" s="28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 ht="15.75" customHeight="1">
      <c r="A271" s="28"/>
      <c r="B271" s="28"/>
      <c r="C271" s="28"/>
      <c r="D271" s="28"/>
      <c r="E271" s="28"/>
      <c r="F271" s="28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 ht="15.75" customHeight="1">
      <c r="A272" s="28"/>
      <c r="B272" s="28"/>
      <c r="C272" s="28"/>
      <c r="D272" s="28"/>
      <c r="E272" s="28"/>
      <c r="F272" s="28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 ht="15.75" customHeight="1">
      <c r="A273" s="28"/>
      <c r="B273" s="28"/>
      <c r="C273" s="28"/>
      <c r="D273" s="28"/>
      <c r="E273" s="28"/>
      <c r="F273" s="28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 ht="15.75" customHeight="1">
      <c r="A274" s="28"/>
      <c r="B274" s="28"/>
      <c r="C274" s="28"/>
      <c r="D274" s="28"/>
      <c r="E274" s="28"/>
      <c r="F274" s="28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 ht="15.75" customHeight="1">
      <c r="A275" s="28"/>
      <c r="B275" s="28"/>
      <c r="C275" s="28"/>
      <c r="D275" s="28"/>
      <c r="E275" s="28"/>
      <c r="F275" s="28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 ht="15.75" customHeight="1">
      <c r="A276" s="28"/>
      <c r="B276" s="28"/>
      <c r="C276" s="28"/>
      <c r="D276" s="28"/>
      <c r="E276" s="28"/>
      <c r="F276" s="28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 ht="15.75" customHeight="1">
      <c r="A277" s="28"/>
      <c r="B277" s="28"/>
      <c r="C277" s="28"/>
      <c r="D277" s="28"/>
      <c r="E277" s="28"/>
      <c r="F277" s="28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 ht="15.75" customHeight="1">
      <c r="A278" s="28"/>
      <c r="B278" s="28"/>
      <c r="C278" s="28"/>
      <c r="D278" s="28"/>
      <c r="E278" s="28"/>
      <c r="F278" s="28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 ht="15.75" customHeight="1">
      <c r="A279" s="28"/>
      <c r="B279" s="28"/>
      <c r="C279" s="28"/>
      <c r="D279" s="28"/>
      <c r="E279" s="28"/>
      <c r="F279" s="28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 ht="15.75" customHeight="1">
      <c r="A280" s="28"/>
      <c r="B280" s="28"/>
      <c r="C280" s="28"/>
      <c r="D280" s="28"/>
      <c r="E280" s="28"/>
      <c r="F280" s="28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 ht="15.75" customHeight="1">
      <c r="A281" s="28"/>
      <c r="B281" s="28"/>
      <c r="C281" s="28"/>
      <c r="D281" s="28"/>
      <c r="E281" s="28"/>
      <c r="F281" s="28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 ht="15.75" customHeight="1">
      <c r="A282" s="28"/>
      <c r="B282" s="28"/>
      <c r="C282" s="28"/>
      <c r="D282" s="28"/>
      <c r="E282" s="28"/>
      <c r="F282" s="28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 ht="15.75" customHeight="1">
      <c r="A283" s="28"/>
      <c r="B283" s="28"/>
      <c r="C283" s="28"/>
      <c r="D283" s="28"/>
      <c r="E283" s="28"/>
      <c r="F283" s="28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 ht="15.75" customHeight="1">
      <c r="A284" s="28"/>
      <c r="B284" s="28"/>
      <c r="C284" s="28"/>
      <c r="D284" s="28"/>
      <c r="E284" s="28"/>
      <c r="F284" s="28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 ht="15.75" customHeight="1">
      <c r="A285" s="28"/>
      <c r="B285" s="28"/>
      <c r="C285" s="28"/>
      <c r="D285" s="28"/>
      <c r="E285" s="28"/>
      <c r="F285" s="28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 ht="15.75" customHeight="1">
      <c r="A286" s="28"/>
      <c r="B286" s="28"/>
      <c r="C286" s="28"/>
      <c r="D286" s="28"/>
      <c r="E286" s="28"/>
      <c r="F286" s="28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 ht="15.75" customHeight="1">
      <c r="A287" s="28"/>
      <c r="B287" s="28"/>
      <c r="C287" s="28"/>
      <c r="D287" s="28"/>
      <c r="E287" s="28"/>
      <c r="F287" s="28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 ht="15.75" customHeight="1">
      <c r="A288" s="28"/>
      <c r="B288" s="28"/>
      <c r="C288" s="28"/>
      <c r="D288" s="28"/>
      <c r="E288" s="28"/>
      <c r="F288" s="28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 ht="15.75" customHeight="1">
      <c r="A289" s="28"/>
      <c r="B289" s="28"/>
      <c r="C289" s="28"/>
      <c r="D289" s="28"/>
      <c r="E289" s="28"/>
      <c r="F289" s="28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 ht="15.75" customHeight="1">
      <c r="A290" s="28"/>
      <c r="B290" s="28"/>
      <c r="C290" s="28"/>
      <c r="D290" s="28"/>
      <c r="E290" s="28"/>
      <c r="F290" s="28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 ht="15.75" customHeight="1">
      <c r="A291" s="28"/>
      <c r="B291" s="28"/>
      <c r="C291" s="28"/>
      <c r="D291" s="28"/>
      <c r="E291" s="28"/>
      <c r="F291" s="28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 ht="15.75" customHeight="1">
      <c r="A292" s="28"/>
      <c r="B292" s="28"/>
      <c r="C292" s="28"/>
      <c r="D292" s="28"/>
      <c r="E292" s="28"/>
      <c r="F292" s="28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 ht="15.75" customHeight="1">
      <c r="A293" s="28"/>
      <c r="B293" s="28"/>
      <c r="C293" s="28"/>
      <c r="D293" s="28"/>
      <c r="E293" s="28"/>
      <c r="F293" s="28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 ht="15.75" customHeight="1">
      <c r="A294" s="28"/>
      <c r="B294" s="28"/>
      <c r="C294" s="28"/>
      <c r="D294" s="28"/>
      <c r="E294" s="28"/>
      <c r="F294" s="28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 ht="15.75" customHeight="1">
      <c r="A295" s="28"/>
      <c r="B295" s="28"/>
      <c r="C295" s="28"/>
      <c r="D295" s="28"/>
      <c r="E295" s="28"/>
      <c r="F295" s="28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 ht="15.75" customHeight="1">
      <c r="A296" s="28"/>
      <c r="B296" s="28"/>
      <c r="C296" s="28"/>
      <c r="D296" s="28"/>
      <c r="E296" s="28"/>
      <c r="F296" s="28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 ht="15.75" customHeight="1">
      <c r="A297" s="28"/>
      <c r="B297" s="28"/>
      <c r="C297" s="28"/>
      <c r="D297" s="28"/>
      <c r="E297" s="28"/>
      <c r="F297" s="28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 ht="15.75" customHeight="1">
      <c r="A298" s="28"/>
      <c r="B298" s="28"/>
      <c r="C298" s="28"/>
      <c r="D298" s="28"/>
      <c r="E298" s="28"/>
      <c r="F298" s="28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 ht="15.75" customHeight="1">
      <c r="A299" s="28"/>
      <c r="B299" s="28"/>
      <c r="C299" s="28"/>
      <c r="D299" s="28"/>
      <c r="E299" s="28"/>
      <c r="F299" s="28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 ht="15.75" customHeight="1">
      <c r="A300" s="28"/>
      <c r="B300" s="28"/>
      <c r="C300" s="28"/>
      <c r="D300" s="28"/>
      <c r="E300" s="28"/>
      <c r="F300" s="28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 ht="15.75" customHeight="1">
      <c r="A301" s="28"/>
      <c r="B301" s="28"/>
      <c r="C301" s="28"/>
      <c r="D301" s="28"/>
      <c r="E301" s="28"/>
      <c r="F301" s="28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 ht="15.75" customHeight="1">
      <c r="A302" s="28"/>
      <c r="B302" s="28"/>
      <c r="C302" s="28"/>
      <c r="D302" s="28"/>
      <c r="E302" s="28"/>
      <c r="F302" s="28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 ht="15.75" customHeight="1">
      <c r="A303" s="28"/>
      <c r="B303" s="28"/>
      <c r="C303" s="28"/>
      <c r="D303" s="28"/>
      <c r="E303" s="28"/>
      <c r="F303" s="28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 ht="15.75" customHeight="1">
      <c r="A304" s="28"/>
      <c r="B304" s="28"/>
      <c r="C304" s="28"/>
      <c r="D304" s="28"/>
      <c r="E304" s="28"/>
      <c r="F304" s="28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 ht="15.75" customHeight="1">
      <c r="A305" s="28"/>
      <c r="B305" s="28"/>
      <c r="C305" s="28"/>
      <c r="D305" s="28"/>
      <c r="E305" s="28"/>
      <c r="F305" s="28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 ht="15.75" customHeight="1">
      <c r="A306" s="28"/>
      <c r="B306" s="28"/>
      <c r="C306" s="28"/>
      <c r="D306" s="28"/>
      <c r="E306" s="28"/>
      <c r="F306" s="28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 ht="15.75" customHeight="1">
      <c r="A307" s="28"/>
      <c r="B307" s="28"/>
      <c r="C307" s="28"/>
      <c r="D307" s="28"/>
      <c r="E307" s="28"/>
      <c r="F307" s="28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 ht="15.75" customHeight="1">
      <c r="A308" s="28"/>
      <c r="B308" s="28"/>
      <c r="C308" s="28"/>
      <c r="D308" s="28"/>
      <c r="E308" s="28"/>
      <c r="F308" s="28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 ht="15.75" customHeight="1">
      <c r="A309" s="28"/>
      <c r="B309" s="28"/>
      <c r="C309" s="28"/>
      <c r="D309" s="28"/>
      <c r="E309" s="28"/>
      <c r="F309" s="28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 ht="15.75" customHeight="1">
      <c r="A310" s="28"/>
      <c r="B310" s="28"/>
      <c r="C310" s="28"/>
      <c r="D310" s="28"/>
      <c r="E310" s="28"/>
      <c r="F310" s="28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 ht="15.75" customHeight="1">
      <c r="A311" s="28"/>
      <c r="B311" s="28"/>
      <c r="C311" s="28"/>
      <c r="D311" s="28"/>
      <c r="E311" s="28"/>
      <c r="F311" s="28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 ht="15.75" customHeight="1">
      <c r="A312" s="28"/>
      <c r="B312" s="28"/>
      <c r="C312" s="28"/>
      <c r="D312" s="28"/>
      <c r="E312" s="28"/>
      <c r="F312" s="28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 ht="15.75" customHeight="1">
      <c r="A313" s="28"/>
      <c r="B313" s="28"/>
      <c r="C313" s="28"/>
      <c r="D313" s="28"/>
      <c r="E313" s="28"/>
      <c r="F313" s="28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 ht="15.75" customHeight="1">
      <c r="A314" s="28"/>
      <c r="B314" s="28"/>
      <c r="C314" s="28"/>
      <c r="D314" s="28"/>
      <c r="E314" s="28"/>
      <c r="F314" s="28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 ht="15.75" customHeight="1">
      <c r="A315" s="28"/>
      <c r="B315" s="28"/>
      <c r="C315" s="28"/>
      <c r="D315" s="28"/>
      <c r="E315" s="28"/>
      <c r="F315" s="28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 ht="15.75" customHeight="1">
      <c r="A316" s="28"/>
      <c r="B316" s="28"/>
      <c r="C316" s="28"/>
      <c r="D316" s="28"/>
      <c r="E316" s="28"/>
      <c r="F316" s="28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 ht="15.75" customHeight="1">
      <c r="A317" s="28"/>
      <c r="B317" s="28"/>
      <c r="C317" s="28"/>
      <c r="D317" s="28"/>
      <c r="E317" s="28"/>
      <c r="F317" s="28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 ht="15.75" customHeight="1">
      <c r="A318" s="28"/>
      <c r="B318" s="28"/>
      <c r="C318" s="28"/>
      <c r="D318" s="28"/>
      <c r="E318" s="28"/>
      <c r="F318" s="28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 ht="15.75" customHeight="1">
      <c r="A319" s="28"/>
      <c r="B319" s="28"/>
      <c r="C319" s="28"/>
      <c r="D319" s="28"/>
      <c r="E319" s="28"/>
      <c r="F319" s="28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 ht="15.75" customHeight="1">
      <c r="A320" s="28"/>
      <c r="B320" s="28"/>
      <c r="C320" s="28"/>
      <c r="D320" s="28"/>
      <c r="E320" s="28"/>
      <c r="F320" s="28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 ht="15.75" customHeight="1">
      <c r="A321" s="28"/>
      <c r="B321" s="28"/>
      <c r="C321" s="28"/>
      <c r="D321" s="28"/>
      <c r="E321" s="28"/>
      <c r="F321" s="28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 ht="15.75" customHeight="1">
      <c r="A322" s="28"/>
      <c r="B322" s="28"/>
      <c r="C322" s="28"/>
      <c r="D322" s="28"/>
      <c r="E322" s="28"/>
      <c r="F322" s="28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 ht="15.75" customHeight="1">
      <c r="A323" s="28"/>
      <c r="B323" s="28"/>
      <c r="C323" s="28"/>
      <c r="D323" s="28"/>
      <c r="E323" s="28"/>
      <c r="F323" s="28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 ht="15.75" customHeight="1">
      <c r="A324" s="28"/>
      <c r="B324" s="28"/>
      <c r="C324" s="28"/>
      <c r="D324" s="28"/>
      <c r="E324" s="28"/>
      <c r="F324" s="28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 ht="15.75" customHeight="1">
      <c r="A325" s="28"/>
      <c r="B325" s="28"/>
      <c r="C325" s="28"/>
      <c r="D325" s="28"/>
      <c r="E325" s="28"/>
      <c r="F325" s="28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 ht="15.75" customHeight="1">
      <c r="A326" s="28"/>
      <c r="B326" s="28"/>
      <c r="C326" s="28"/>
      <c r="D326" s="28"/>
      <c r="E326" s="28"/>
      <c r="F326" s="28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 ht="15.75" customHeight="1">
      <c r="A327" s="28"/>
      <c r="B327" s="28"/>
      <c r="C327" s="28"/>
      <c r="D327" s="28"/>
      <c r="E327" s="28"/>
      <c r="F327" s="28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 ht="15.75" customHeight="1">
      <c r="A328" s="28"/>
      <c r="B328" s="28"/>
      <c r="C328" s="28"/>
      <c r="D328" s="28"/>
      <c r="E328" s="28"/>
      <c r="F328" s="28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 ht="15.75" customHeight="1">
      <c r="A329" s="28"/>
      <c r="B329" s="28"/>
      <c r="C329" s="28"/>
      <c r="D329" s="28"/>
      <c r="E329" s="28"/>
      <c r="F329" s="28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 ht="15.75" customHeight="1">
      <c r="A330" s="28"/>
      <c r="B330" s="28"/>
      <c r="C330" s="28"/>
      <c r="D330" s="28"/>
      <c r="E330" s="28"/>
      <c r="F330" s="28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 ht="15.75" customHeight="1">
      <c r="A331" s="28"/>
      <c r="B331" s="28"/>
      <c r="C331" s="28"/>
      <c r="D331" s="28"/>
      <c r="E331" s="28"/>
      <c r="F331" s="28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 ht="15.75" customHeight="1">
      <c r="A332" s="28"/>
      <c r="B332" s="28"/>
      <c r="C332" s="28"/>
      <c r="D332" s="28"/>
      <c r="E332" s="28"/>
      <c r="F332" s="28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 ht="15.75" customHeight="1">
      <c r="A333" s="28"/>
      <c r="B333" s="28"/>
      <c r="C333" s="28"/>
      <c r="D333" s="28"/>
      <c r="E333" s="28"/>
      <c r="F333" s="28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 ht="15.75" customHeight="1">
      <c r="A334" s="28"/>
      <c r="B334" s="28"/>
      <c r="C334" s="28"/>
      <c r="D334" s="28"/>
      <c r="E334" s="28"/>
      <c r="F334" s="28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 ht="15.75" customHeight="1">
      <c r="A335" s="28"/>
      <c r="B335" s="28"/>
      <c r="C335" s="28"/>
      <c r="D335" s="28"/>
      <c r="E335" s="28"/>
      <c r="F335" s="28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 ht="15.75" customHeight="1">
      <c r="A336" s="28"/>
      <c r="B336" s="28"/>
      <c r="C336" s="28"/>
      <c r="D336" s="28"/>
      <c r="E336" s="28"/>
      <c r="F336" s="28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 ht="15.75" customHeight="1">
      <c r="A337" s="28"/>
      <c r="B337" s="28"/>
      <c r="C337" s="28"/>
      <c r="D337" s="28"/>
      <c r="E337" s="28"/>
      <c r="F337" s="28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 ht="15.75" customHeight="1">
      <c r="A338" s="28"/>
      <c r="B338" s="28"/>
      <c r="C338" s="28"/>
      <c r="D338" s="28"/>
      <c r="E338" s="28"/>
      <c r="F338" s="28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 ht="15.75" customHeight="1">
      <c r="A339" s="28"/>
      <c r="B339" s="28"/>
      <c r="C339" s="28"/>
      <c r="D339" s="28"/>
      <c r="E339" s="28"/>
      <c r="F339" s="28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 ht="15.75" customHeight="1">
      <c r="A340" s="28"/>
      <c r="B340" s="28"/>
      <c r="C340" s="28"/>
      <c r="D340" s="28"/>
      <c r="E340" s="28"/>
      <c r="F340" s="28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 ht="15.75" customHeight="1">
      <c r="A341" s="28"/>
      <c r="B341" s="28"/>
      <c r="C341" s="28"/>
      <c r="D341" s="28"/>
      <c r="E341" s="28"/>
      <c r="F341" s="28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 ht="15.75" customHeight="1">
      <c r="A342" s="28"/>
      <c r="B342" s="28"/>
      <c r="C342" s="28"/>
      <c r="D342" s="28"/>
      <c r="E342" s="28"/>
      <c r="F342" s="28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 ht="15.75" customHeight="1">
      <c r="A343" s="28"/>
      <c r="B343" s="28"/>
      <c r="C343" s="28"/>
      <c r="D343" s="28"/>
      <c r="E343" s="28"/>
      <c r="F343" s="28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 ht="15.75" customHeight="1">
      <c r="A344" s="28"/>
      <c r="B344" s="28"/>
      <c r="C344" s="28"/>
      <c r="D344" s="28"/>
      <c r="E344" s="28"/>
      <c r="F344" s="28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 ht="15.75" customHeight="1">
      <c r="A345" s="28"/>
      <c r="B345" s="28"/>
      <c r="C345" s="28"/>
      <c r="D345" s="28"/>
      <c r="E345" s="28"/>
      <c r="F345" s="28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 ht="15.75" customHeight="1">
      <c r="A346" s="28"/>
      <c r="B346" s="28"/>
      <c r="C346" s="28"/>
      <c r="D346" s="28"/>
      <c r="E346" s="28"/>
      <c r="F346" s="28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 ht="15.75" customHeight="1">
      <c r="A347" s="28"/>
      <c r="B347" s="28"/>
      <c r="C347" s="28"/>
      <c r="D347" s="28"/>
      <c r="E347" s="28"/>
      <c r="F347" s="28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 ht="15.75" customHeight="1">
      <c r="A348" s="28"/>
      <c r="B348" s="28"/>
      <c r="C348" s="28"/>
      <c r="D348" s="28"/>
      <c r="E348" s="28"/>
      <c r="F348" s="28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 ht="15.75" customHeight="1">
      <c r="A349" s="28"/>
      <c r="B349" s="28"/>
      <c r="C349" s="28"/>
      <c r="D349" s="28"/>
      <c r="E349" s="28"/>
      <c r="F349" s="28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 ht="15.75" customHeight="1">
      <c r="A350" s="28"/>
      <c r="B350" s="28"/>
      <c r="C350" s="28"/>
      <c r="D350" s="28"/>
      <c r="E350" s="28"/>
      <c r="F350" s="28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 ht="15.75" customHeight="1">
      <c r="A351" s="28"/>
      <c r="B351" s="28"/>
      <c r="C351" s="28"/>
      <c r="D351" s="28"/>
      <c r="E351" s="28"/>
      <c r="F351" s="28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 ht="15.75" customHeight="1">
      <c r="A352" s="28"/>
      <c r="B352" s="28"/>
      <c r="C352" s="28"/>
      <c r="D352" s="28"/>
      <c r="E352" s="28"/>
      <c r="F352" s="28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 ht="15.75" customHeight="1">
      <c r="A353" s="28"/>
      <c r="B353" s="28"/>
      <c r="C353" s="28"/>
      <c r="D353" s="28"/>
      <c r="E353" s="28"/>
      <c r="F353" s="28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 ht="15.75" customHeight="1">
      <c r="A354" s="28"/>
      <c r="B354" s="28"/>
      <c r="C354" s="28"/>
      <c r="D354" s="28"/>
      <c r="E354" s="28"/>
      <c r="F354" s="28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 ht="15.75" customHeight="1">
      <c r="A355" s="28"/>
      <c r="B355" s="28"/>
      <c r="C355" s="28"/>
      <c r="D355" s="28"/>
      <c r="E355" s="28"/>
      <c r="F355" s="28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 ht="15.75" customHeight="1">
      <c r="A356" s="28"/>
      <c r="B356" s="28"/>
      <c r="C356" s="28"/>
      <c r="D356" s="28"/>
      <c r="E356" s="28"/>
      <c r="F356" s="28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 ht="15.75" customHeight="1">
      <c r="A357" s="28"/>
      <c r="B357" s="28"/>
      <c r="C357" s="28"/>
      <c r="D357" s="28"/>
      <c r="E357" s="28"/>
      <c r="F357" s="28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 ht="15.75" customHeight="1">
      <c r="A358" s="28"/>
      <c r="B358" s="28"/>
      <c r="C358" s="28"/>
      <c r="D358" s="28"/>
      <c r="E358" s="28"/>
      <c r="F358" s="28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 ht="15.75" customHeight="1">
      <c r="A359" s="28"/>
      <c r="B359" s="28"/>
      <c r="C359" s="28"/>
      <c r="D359" s="28"/>
      <c r="E359" s="28"/>
      <c r="F359" s="28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 ht="15.75" customHeight="1">
      <c r="A360" s="28"/>
      <c r="B360" s="28"/>
      <c r="C360" s="28"/>
      <c r="D360" s="28"/>
      <c r="E360" s="28"/>
      <c r="F360" s="28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 ht="15.75" customHeight="1">
      <c r="A361" s="28"/>
      <c r="B361" s="28"/>
      <c r="C361" s="28"/>
      <c r="D361" s="28"/>
      <c r="E361" s="28"/>
      <c r="F361" s="28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 ht="15.75" customHeight="1">
      <c r="A362" s="28"/>
      <c r="B362" s="28"/>
      <c r="C362" s="28"/>
      <c r="D362" s="28"/>
      <c r="E362" s="28"/>
      <c r="F362" s="28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 ht="15.75" customHeight="1">
      <c r="A363" s="28"/>
      <c r="B363" s="28"/>
      <c r="C363" s="28"/>
      <c r="D363" s="28"/>
      <c r="E363" s="28"/>
      <c r="F363" s="28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 ht="15.75" customHeight="1">
      <c r="A364" s="28"/>
      <c r="B364" s="28"/>
      <c r="C364" s="28"/>
      <c r="D364" s="28"/>
      <c r="E364" s="28"/>
      <c r="F364" s="28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 ht="15.75" customHeight="1">
      <c r="A365" s="28"/>
      <c r="B365" s="28"/>
      <c r="C365" s="28"/>
      <c r="D365" s="28"/>
      <c r="E365" s="28"/>
      <c r="F365" s="28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 ht="15.75" customHeight="1">
      <c r="A366" s="28"/>
      <c r="B366" s="28"/>
      <c r="C366" s="28"/>
      <c r="D366" s="28"/>
      <c r="E366" s="28"/>
      <c r="F366" s="28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 ht="15.75" customHeight="1">
      <c r="A367" s="28"/>
      <c r="B367" s="28"/>
      <c r="C367" s="28"/>
      <c r="D367" s="28"/>
      <c r="E367" s="28"/>
      <c r="F367" s="28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 ht="15.75" customHeight="1">
      <c r="A368" s="28"/>
      <c r="B368" s="28"/>
      <c r="C368" s="28"/>
      <c r="D368" s="28"/>
      <c r="E368" s="28"/>
      <c r="F368" s="28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 ht="15.75" customHeight="1">
      <c r="A369" s="28"/>
      <c r="B369" s="28"/>
      <c r="C369" s="28"/>
      <c r="D369" s="28"/>
      <c r="E369" s="28"/>
      <c r="F369" s="28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 ht="15.75" customHeight="1">
      <c r="A370" s="28"/>
      <c r="B370" s="28"/>
      <c r="C370" s="28"/>
      <c r="D370" s="28"/>
      <c r="E370" s="28"/>
      <c r="F370" s="28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 ht="15.75" customHeight="1">
      <c r="A371" s="28"/>
      <c r="B371" s="28"/>
      <c r="C371" s="28"/>
      <c r="D371" s="28"/>
      <c r="E371" s="28"/>
      <c r="F371" s="28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 ht="15.75" customHeight="1">
      <c r="A372" s="28"/>
      <c r="B372" s="28"/>
      <c r="C372" s="28"/>
      <c r="D372" s="28"/>
      <c r="E372" s="28"/>
      <c r="F372" s="28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 ht="15.75" customHeight="1">
      <c r="A373" s="28"/>
      <c r="B373" s="28"/>
      <c r="C373" s="28"/>
      <c r="D373" s="28"/>
      <c r="E373" s="28"/>
      <c r="F373" s="28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 ht="15.75" customHeight="1">
      <c r="A374" s="28"/>
      <c r="B374" s="28"/>
      <c r="C374" s="28"/>
      <c r="D374" s="28"/>
      <c r="E374" s="28"/>
      <c r="F374" s="28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 ht="15.75" customHeight="1">
      <c r="A375" s="28"/>
      <c r="B375" s="28"/>
      <c r="C375" s="28"/>
      <c r="D375" s="28"/>
      <c r="E375" s="28"/>
      <c r="F375" s="28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 ht="15.75" customHeight="1">
      <c r="A376" s="28"/>
      <c r="B376" s="28"/>
      <c r="C376" s="28"/>
      <c r="D376" s="28"/>
      <c r="E376" s="28"/>
      <c r="F376" s="28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 ht="15.75" customHeight="1">
      <c r="A377" s="28"/>
      <c r="B377" s="28"/>
      <c r="C377" s="28"/>
      <c r="D377" s="28"/>
      <c r="E377" s="28"/>
      <c r="F377" s="28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 ht="15.75" customHeight="1">
      <c r="A378" s="28"/>
      <c r="B378" s="28"/>
      <c r="C378" s="28"/>
      <c r="D378" s="28"/>
      <c r="E378" s="28"/>
      <c r="F378" s="28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 ht="15.75" customHeight="1">
      <c r="A379" s="28"/>
      <c r="B379" s="28"/>
      <c r="C379" s="28"/>
      <c r="D379" s="28"/>
      <c r="E379" s="28"/>
      <c r="F379" s="28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 ht="15.75" customHeight="1">
      <c r="A380" s="28"/>
      <c r="B380" s="28"/>
      <c r="C380" s="28"/>
      <c r="D380" s="28"/>
      <c r="E380" s="28"/>
      <c r="F380" s="28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 ht="15.75" customHeight="1">
      <c r="A381" s="28"/>
      <c r="B381" s="28"/>
      <c r="C381" s="28"/>
      <c r="D381" s="28"/>
      <c r="E381" s="28"/>
      <c r="F381" s="28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 ht="15.75" customHeight="1">
      <c r="A382" s="28"/>
      <c r="B382" s="28"/>
      <c r="C382" s="28"/>
      <c r="D382" s="28"/>
      <c r="E382" s="28"/>
      <c r="F382" s="28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 ht="15.75" customHeight="1">
      <c r="A383" s="28"/>
      <c r="B383" s="28"/>
      <c r="C383" s="28"/>
      <c r="D383" s="28"/>
      <c r="E383" s="28"/>
      <c r="F383" s="28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 ht="15.75" customHeight="1">
      <c r="A384" s="28"/>
      <c r="B384" s="28"/>
      <c r="C384" s="28"/>
      <c r="D384" s="28"/>
      <c r="E384" s="28"/>
      <c r="F384" s="28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 ht="15.75" customHeight="1">
      <c r="A385" s="28"/>
      <c r="B385" s="28"/>
      <c r="C385" s="28"/>
      <c r="D385" s="28"/>
      <c r="E385" s="28"/>
      <c r="F385" s="28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 ht="15.75" customHeight="1">
      <c r="A386" s="28"/>
      <c r="B386" s="28"/>
      <c r="C386" s="28"/>
      <c r="D386" s="28"/>
      <c r="E386" s="28"/>
      <c r="F386" s="28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 ht="15.75" customHeight="1">
      <c r="A387" s="28"/>
      <c r="B387" s="28"/>
      <c r="C387" s="28"/>
      <c r="D387" s="28"/>
      <c r="E387" s="28"/>
      <c r="F387" s="28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 ht="15.75" customHeight="1">
      <c r="A388" s="28"/>
      <c r="B388" s="28"/>
      <c r="C388" s="28"/>
      <c r="D388" s="28"/>
      <c r="E388" s="28"/>
      <c r="F388" s="28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 ht="15.75" customHeight="1">
      <c r="A389" s="28"/>
      <c r="B389" s="28"/>
      <c r="C389" s="28"/>
      <c r="D389" s="28"/>
      <c r="E389" s="28"/>
      <c r="F389" s="28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 ht="15.75" customHeight="1">
      <c r="A390" s="28"/>
      <c r="B390" s="28"/>
      <c r="C390" s="28"/>
      <c r="D390" s="28"/>
      <c r="E390" s="28"/>
      <c r="F390" s="28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 ht="15.75" customHeight="1">
      <c r="A391" s="28"/>
      <c r="B391" s="28"/>
      <c r="C391" s="28"/>
      <c r="D391" s="28"/>
      <c r="E391" s="28"/>
      <c r="F391" s="28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 ht="15.75" customHeight="1">
      <c r="A392" s="28"/>
      <c r="B392" s="28"/>
      <c r="C392" s="28"/>
      <c r="D392" s="28"/>
      <c r="E392" s="28"/>
      <c r="F392" s="28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 ht="15.75" customHeight="1">
      <c r="A393" s="28"/>
      <c r="B393" s="28"/>
      <c r="C393" s="28"/>
      <c r="D393" s="28"/>
      <c r="E393" s="28"/>
      <c r="F393" s="28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 ht="15.75" customHeight="1">
      <c r="A394" s="28"/>
      <c r="B394" s="28"/>
      <c r="C394" s="28"/>
      <c r="D394" s="28"/>
      <c r="E394" s="28"/>
      <c r="F394" s="28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 ht="15.75" customHeight="1">
      <c r="A395" s="28"/>
      <c r="B395" s="28"/>
      <c r="C395" s="28"/>
      <c r="D395" s="28"/>
      <c r="E395" s="28"/>
      <c r="F395" s="28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 ht="15.75" customHeight="1">
      <c r="A396" s="28"/>
      <c r="B396" s="28"/>
      <c r="C396" s="28"/>
      <c r="D396" s="28"/>
      <c r="E396" s="28"/>
      <c r="F396" s="28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 ht="15.75" customHeight="1">
      <c r="A397" s="28"/>
      <c r="B397" s="28"/>
      <c r="C397" s="28"/>
      <c r="D397" s="28"/>
      <c r="E397" s="28"/>
      <c r="F397" s="28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 ht="15.75" customHeight="1">
      <c r="A398" s="28"/>
      <c r="B398" s="28"/>
      <c r="C398" s="28"/>
      <c r="D398" s="28"/>
      <c r="E398" s="28"/>
      <c r="F398" s="28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 ht="15.75" customHeight="1">
      <c r="A399" s="28"/>
      <c r="B399" s="28"/>
      <c r="C399" s="28"/>
      <c r="D399" s="28"/>
      <c r="E399" s="28"/>
      <c r="F399" s="28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 ht="15.75" customHeight="1">
      <c r="A400" s="28"/>
      <c r="B400" s="28"/>
      <c r="C400" s="28"/>
      <c r="D400" s="28"/>
      <c r="E400" s="28"/>
      <c r="F400" s="28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 ht="15.75" customHeight="1">
      <c r="A401" s="28"/>
      <c r="B401" s="28"/>
      <c r="C401" s="28"/>
      <c r="D401" s="28"/>
      <c r="E401" s="28"/>
      <c r="F401" s="28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 ht="15.75" customHeight="1">
      <c r="A402" s="28"/>
      <c r="B402" s="28"/>
      <c r="C402" s="28"/>
      <c r="D402" s="28"/>
      <c r="E402" s="28"/>
      <c r="F402" s="28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 ht="15.75" customHeight="1">
      <c r="A403" s="28"/>
      <c r="B403" s="28"/>
      <c r="C403" s="28"/>
      <c r="D403" s="28"/>
      <c r="E403" s="28"/>
      <c r="F403" s="28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 ht="15.75" customHeight="1">
      <c r="A404" s="28"/>
      <c r="B404" s="28"/>
      <c r="C404" s="28"/>
      <c r="D404" s="28"/>
      <c r="E404" s="28"/>
      <c r="F404" s="28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 ht="15.75" customHeight="1">
      <c r="A405" s="28"/>
      <c r="B405" s="28"/>
      <c r="C405" s="28"/>
      <c r="D405" s="28"/>
      <c r="E405" s="28"/>
      <c r="F405" s="28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 ht="15.75" customHeight="1">
      <c r="A406" s="28"/>
      <c r="B406" s="28"/>
      <c r="C406" s="28"/>
      <c r="D406" s="28"/>
      <c r="E406" s="28"/>
      <c r="F406" s="28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 ht="15.75" customHeight="1">
      <c r="A407" s="28"/>
      <c r="B407" s="28"/>
      <c r="C407" s="28"/>
      <c r="D407" s="28"/>
      <c r="E407" s="28"/>
      <c r="F407" s="28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 ht="15.75" customHeight="1">
      <c r="A408" s="28"/>
      <c r="B408" s="28"/>
      <c r="C408" s="28"/>
      <c r="D408" s="28"/>
      <c r="E408" s="28"/>
      <c r="F408" s="28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 ht="15.75" customHeight="1">
      <c r="A409" s="28"/>
      <c r="B409" s="28"/>
      <c r="C409" s="28"/>
      <c r="D409" s="28"/>
      <c r="E409" s="28"/>
      <c r="F409" s="28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 ht="15.75" customHeight="1">
      <c r="A410" s="28"/>
      <c r="B410" s="28"/>
      <c r="C410" s="28"/>
      <c r="D410" s="28"/>
      <c r="E410" s="28"/>
      <c r="F410" s="28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 ht="15.75" customHeight="1">
      <c r="A411" s="28"/>
      <c r="B411" s="28"/>
      <c r="C411" s="28"/>
      <c r="D411" s="28"/>
      <c r="E411" s="28"/>
      <c r="F411" s="28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 ht="15.75" customHeight="1">
      <c r="A412" s="28"/>
      <c r="B412" s="28"/>
      <c r="C412" s="28"/>
      <c r="D412" s="28"/>
      <c r="E412" s="28"/>
      <c r="F412" s="28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 ht="15.75" customHeight="1">
      <c r="A413" s="28"/>
      <c r="B413" s="28"/>
      <c r="C413" s="28"/>
      <c r="D413" s="28"/>
      <c r="E413" s="28"/>
      <c r="F413" s="28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 ht="15.75" customHeight="1">
      <c r="A414" s="28"/>
      <c r="B414" s="28"/>
      <c r="C414" s="28"/>
      <c r="D414" s="28"/>
      <c r="E414" s="28"/>
      <c r="F414" s="28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 ht="15.75" customHeight="1">
      <c r="A415" s="28"/>
      <c r="B415" s="28"/>
      <c r="C415" s="28"/>
      <c r="D415" s="28"/>
      <c r="E415" s="28"/>
      <c r="F415" s="28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 ht="15.75" customHeight="1">
      <c r="A416" s="28"/>
      <c r="B416" s="28"/>
      <c r="C416" s="28"/>
      <c r="D416" s="28"/>
      <c r="E416" s="28"/>
      <c r="F416" s="28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 ht="15.75" customHeight="1">
      <c r="A417" s="28"/>
      <c r="B417" s="28"/>
      <c r="C417" s="28"/>
      <c r="D417" s="28"/>
      <c r="E417" s="28"/>
      <c r="F417" s="28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 ht="15.75" customHeight="1">
      <c r="A418" s="28"/>
      <c r="B418" s="28"/>
      <c r="C418" s="28"/>
      <c r="D418" s="28"/>
      <c r="E418" s="28"/>
      <c r="F418" s="28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 ht="15.75" customHeight="1">
      <c r="A419" s="28"/>
      <c r="B419" s="28"/>
      <c r="C419" s="28"/>
      <c r="D419" s="28"/>
      <c r="E419" s="28"/>
      <c r="F419" s="28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 ht="15.75" customHeight="1">
      <c r="A420" s="28"/>
      <c r="B420" s="28"/>
      <c r="C420" s="28"/>
      <c r="D420" s="28"/>
      <c r="E420" s="28"/>
      <c r="F420" s="28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 ht="15.75" customHeight="1">
      <c r="A421" s="28"/>
      <c r="B421" s="28"/>
      <c r="C421" s="28"/>
      <c r="D421" s="28"/>
      <c r="E421" s="28"/>
      <c r="F421" s="28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 ht="15.75" customHeight="1">
      <c r="A422" s="28"/>
      <c r="B422" s="28"/>
      <c r="C422" s="28"/>
      <c r="D422" s="28"/>
      <c r="E422" s="28"/>
      <c r="F422" s="28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 ht="15.75" customHeight="1">
      <c r="A423" s="28"/>
      <c r="B423" s="28"/>
      <c r="C423" s="28"/>
      <c r="D423" s="28"/>
      <c r="E423" s="28"/>
      <c r="F423" s="28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 ht="15.75" customHeight="1">
      <c r="A424" s="28"/>
      <c r="B424" s="28"/>
      <c r="C424" s="28"/>
      <c r="D424" s="28"/>
      <c r="E424" s="28"/>
      <c r="F424" s="28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 ht="15.75" customHeight="1">
      <c r="A425" s="28"/>
      <c r="B425" s="28"/>
      <c r="C425" s="28"/>
      <c r="D425" s="28"/>
      <c r="E425" s="28"/>
      <c r="F425" s="28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 ht="15.75" customHeight="1">
      <c r="A426" s="28"/>
      <c r="B426" s="28"/>
      <c r="C426" s="28"/>
      <c r="D426" s="28"/>
      <c r="E426" s="28"/>
      <c r="F426" s="28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 ht="15.75" customHeight="1">
      <c r="A427" s="28"/>
      <c r="B427" s="28"/>
      <c r="C427" s="28"/>
      <c r="D427" s="28"/>
      <c r="E427" s="28"/>
      <c r="F427" s="28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 ht="15.75" customHeight="1">
      <c r="A428" s="28"/>
      <c r="B428" s="28"/>
      <c r="C428" s="28"/>
      <c r="D428" s="28"/>
      <c r="E428" s="28"/>
      <c r="F428" s="28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 ht="15.75" customHeight="1">
      <c r="A429" s="28"/>
      <c r="B429" s="28"/>
      <c r="C429" s="28"/>
      <c r="D429" s="28"/>
      <c r="E429" s="28"/>
      <c r="F429" s="28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 ht="15.75" customHeight="1">
      <c r="A430" s="28"/>
      <c r="B430" s="28"/>
      <c r="C430" s="28"/>
      <c r="D430" s="28"/>
      <c r="E430" s="28"/>
      <c r="F430" s="28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 ht="15.75" customHeight="1">
      <c r="A431" s="28"/>
      <c r="B431" s="28"/>
      <c r="C431" s="28"/>
      <c r="D431" s="28"/>
      <c r="E431" s="28"/>
      <c r="F431" s="28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 ht="15.75" customHeight="1">
      <c r="A432" s="28"/>
      <c r="B432" s="28"/>
      <c r="C432" s="28"/>
      <c r="D432" s="28"/>
      <c r="E432" s="28"/>
      <c r="F432" s="28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 ht="15.75" customHeight="1">
      <c r="A433" s="28"/>
      <c r="B433" s="28"/>
      <c r="C433" s="28"/>
      <c r="D433" s="28"/>
      <c r="E433" s="28"/>
      <c r="F433" s="28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 ht="15.75" customHeight="1">
      <c r="A434" s="28"/>
      <c r="B434" s="28"/>
      <c r="C434" s="28"/>
      <c r="D434" s="28"/>
      <c r="E434" s="28"/>
      <c r="F434" s="28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 ht="15.75" customHeight="1">
      <c r="A435" s="28"/>
      <c r="B435" s="28"/>
      <c r="C435" s="28"/>
      <c r="D435" s="28"/>
      <c r="E435" s="28"/>
      <c r="F435" s="28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 ht="15.75" customHeight="1">
      <c r="A436" s="28"/>
      <c r="B436" s="28"/>
      <c r="C436" s="28"/>
      <c r="D436" s="28"/>
      <c r="E436" s="28"/>
      <c r="F436" s="28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 ht="15.75" customHeight="1">
      <c r="A437" s="28"/>
      <c r="B437" s="28"/>
      <c r="C437" s="28"/>
      <c r="D437" s="28"/>
      <c r="E437" s="28"/>
      <c r="F437" s="28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 ht="15.75" customHeight="1">
      <c r="A438" s="28"/>
      <c r="B438" s="28"/>
      <c r="C438" s="28"/>
      <c r="D438" s="28"/>
      <c r="E438" s="28"/>
      <c r="F438" s="28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 ht="15.75" customHeight="1">
      <c r="A439" s="28"/>
      <c r="B439" s="28"/>
      <c r="C439" s="28"/>
      <c r="D439" s="28"/>
      <c r="E439" s="28"/>
      <c r="F439" s="28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 ht="15.75" customHeight="1">
      <c r="A440" s="28"/>
      <c r="B440" s="28"/>
      <c r="C440" s="28"/>
      <c r="D440" s="28"/>
      <c r="E440" s="28"/>
      <c r="F440" s="28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 ht="15.75" customHeight="1">
      <c r="A441" s="28"/>
      <c r="B441" s="28"/>
      <c r="C441" s="28"/>
      <c r="D441" s="28"/>
      <c r="E441" s="28"/>
      <c r="F441" s="28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 ht="15.75" customHeight="1">
      <c r="A442" s="28"/>
      <c r="B442" s="28"/>
      <c r="C442" s="28"/>
      <c r="D442" s="28"/>
      <c r="E442" s="28"/>
      <c r="F442" s="28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 ht="15.75" customHeight="1">
      <c r="A443" s="28"/>
      <c r="B443" s="28"/>
      <c r="C443" s="28"/>
      <c r="D443" s="28"/>
      <c r="E443" s="28"/>
      <c r="F443" s="28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 ht="15.75" customHeight="1">
      <c r="A444" s="28"/>
      <c r="B444" s="28"/>
      <c r="C444" s="28"/>
      <c r="D444" s="28"/>
      <c r="E444" s="28"/>
      <c r="F444" s="28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 ht="15.75" customHeight="1">
      <c r="A445" s="28"/>
      <c r="B445" s="28"/>
      <c r="C445" s="28"/>
      <c r="D445" s="28"/>
      <c r="E445" s="28"/>
      <c r="F445" s="28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 ht="15.75" customHeight="1">
      <c r="A446" s="28"/>
      <c r="B446" s="28"/>
      <c r="C446" s="28"/>
      <c r="D446" s="28"/>
      <c r="E446" s="28"/>
      <c r="F446" s="28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 ht="15.75" customHeight="1">
      <c r="A447" s="28"/>
      <c r="B447" s="28"/>
      <c r="C447" s="28"/>
      <c r="D447" s="28"/>
      <c r="E447" s="28"/>
      <c r="F447" s="28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 ht="15.75" customHeight="1">
      <c r="A448" s="28"/>
      <c r="B448" s="28"/>
      <c r="C448" s="28"/>
      <c r="D448" s="28"/>
      <c r="E448" s="28"/>
      <c r="F448" s="28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 ht="15.75" customHeight="1">
      <c r="A449" s="28"/>
      <c r="B449" s="28"/>
      <c r="C449" s="28"/>
      <c r="D449" s="28"/>
      <c r="E449" s="28"/>
      <c r="F449" s="28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 ht="15.75" customHeight="1">
      <c r="A450" s="28"/>
      <c r="B450" s="28"/>
      <c r="C450" s="28"/>
      <c r="D450" s="28"/>
      <c r="E450" s="28"/>
      <c r="F450" s="28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 ht="15.75" customHeight="1">
      <c r="A451" s="28"/>
      <c r="B451" s="28"/>
      <c r="C451" s="28"/>
      <c r="D451" s="28"/>
      <c r="E451" s="28"/>
      <c r="F451" s="28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 ht="15.75" customHeight="1">
      <c r="A452" s="28"/>
      <c r="B452" s="28"/>
      <c r="C452" s="28"/>
      <c r="D452" s="28"/>
      <c r="E452" s="28"/>
      <c r="F452" s="28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 ht="15.75" customHeight="1">
      <c r="A453" s="28"/>
      <c r="B453" s="28"/>
      <c r="C453" s="28"/>
      <c r="D453" s="28"/>
      <c r="E453" s="28"/>
      <c r="F453" s="28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 ht="15.75" customHeight="1">
      <c r="A454" s="28"/>
      <c r="B454" s="28"/>
      <c r="C454" s="28"/>
      <c r="D454" s="28"/>
      <c r="E454" s="28"/>
      <c r="F454" s="28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 ht="15.75" customHeight="1">
      <c r="A455" s="28"/>
      <c r="B455" s="28"/>
      <c r="C455" s="28"/>
      <c r="D455" s="28"/>
      <c r="E455" s="28"/>
      <c r="F455" s="28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 ht="15.75" customHeight="1">
      <c r="A456" s="28"/>
      <c r="B456" s="28"/>
      <c r="C456" s="28"/>
      <c r="D456" s="28"/>
      <c r="E456" s="28"/>
      <c r="F456" s="28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 ht="15.75" customHeight="1">
      <c r="A457" s="28"/>
      <c r="B457" s="28"/>
      <c r="C457" s="28"/>
      <c r="D457" s="28"/>
      <c r="E457" s="28"/>
      <c r="F457" s="28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 ht="15.75" customHeight="1">
      <c r="A458" s="28"/>
      <c r="B458" s="28"/>
      <c r="C458" s="28"/>
      <c r="D458" s="28"/>
      <c r="E458" s="28"/>
      <c r="F458" s="28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 ht="15.75" customHeight="1">
      <c r="A459" s="28"/>
      <c r="B459" s="28"/>
      <c r="C459" s="28"/>
      <c r="D459" s="28"/>
      <c r="E459" s="28"/>
      <c r="F459" s="28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 ht="15.75" customHeight="1">
      <c r="A460" s="28"/>
      <c r="B460" s="28"/>
      <c r="C460" s="28"/>
      <c r="D460" s="28"/>
      <c r="E460" s="28"/>
      <c r="F460" s="28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 ht="15.75" customHeight="1">
      <c r="A461" s="28"/>
      <c r="B461" s="28"/>
      <c r="C461" s="28"/>
      <c r="D461" s="28"/>
      <c r="E461" s="28"/>
      <c r="F461" s="28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 ht="15.75" customHeight="1">
      <c r="A462" s="28"/>
      <c r="B462" s="28"/>
      <c r="C462" s="28"/>
      <c r="D462" s="28"/>
      <c r="E462" s="28"/>
      <c r="F462" s="28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 ht="15.75" customHeight="1">
      <c r="A463" s="28"/>
      <c r="B463" s="28"/>
      <c r="C463" s="28"/>
      <c r="D463" s="28"/>
      <c r="E463" s="28"/>
      <c r="F463" s="28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 ht="15.75" customHeight="1">
      <c r="A464" s="28"/>
      <c r="B464" s="28"/>
      <c r="C464" s="28"/>
      <c r="D464" s="28"/>
      <c r="E464" s="28"/>
      <c r="F464" s="28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 ht="15.75" customHeight="1">
      <c r="A465" s="28"/>
      <c r="B465" s="28"/>
      <c r="C465" s="28"/>
      <c r="D465" s="28"/>
      <c r="E465" s="28"/>
      <c r="F465" s="28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 ht="15.75" customHeight="1">
      <c r="A466" s="28"/>
      <c r="B466" s="28"/>
      <c r="C466" s="28"/>
      <c r="D466" s="28"/>
      <c r="E466" s="28"/>
      <c r="F466" s="28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 ht="15.75" customHeight="1">
      <c r="A467" s="28"/>
      <c r="B467" s="28"/>
      <c r="C467" s="28"/>
      <c r="D467" s="28"/>
      <c r="E467" s="28"/>
      <c r="F467" s="28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 ht="15.75" customHeight="1">
      <c r="A468" s="28"/>
      <c r="B468" s="28"/>
      <c r="C468" s="28"/>
      <c r="D468" s="28"/>
      <c r="E468" s="28"/>
      <c r="F468" s="28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 ht="15.75" customHeight="1">
      <c r="A469" s="28"/>
      <c r="B469" s="28"/>
      <c r="C469" s="28"/>
      <c r="D469" s="28"/>
      <c r="E469" s="28"/>
      <c r="F469" s="28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 ht="15.75" customHeight="1">
      <c r="A470" s="28"/>
      <c r="B470" s="28"/>
      <c r="C470" s="28"/>
      <c r="D470" s="28"/>
      <c r="E470" s="28"/>
      <c r="F470" s="28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 ht="15.75" customHeight="1">
      <c r="A471" s="28"/>
      <c r="B471" s="28"/>
      <c r="C471" s="28"/>
      <c r="D471" s="28"/>
      <c r="E471" s="28"/>
      <c r="F471" s="28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 ht="15.75" customHeight="1">
      <c r="A472" s="28"/>
      <c r="B472" s="28"/>
      <c r="C472" s="28"/>
      <c r="D472" s="28"/>
      <c r="E472" s="28"/>
      <c r="F472" s="28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 ht="15.75" customHeight="1">
      <c r="A473" s="28"/>
      <c r="B473" s="28"/>
      <c r="C473" s="28"/>
      <c r="D473" s="28"/>
      <c r="E473" s="28"/>
      <c r="F473" s="28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 ht="15.75" customHeight="1">
      <c r="A474" s="28"/>
      <c r="B474" s="28"/>
      <c r="C474" s="28"/>
      <c r="D474" s="28"/>
      <c r="E474" s="28"/>
      <c r="F474" s="28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 ht="15.75" customHeight="1">
      <c r="A475" s="28"/>
      <c r="B475" s="28"/>
      <c r="C475" s="28"/>
      <c r="D475" s="28"/>
      <c r="E475" s="28"/>
      <c r="F475" s="28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 ht="15.75" customHeight="1">
      <c r="A476" s="28"/>
      <c r="B476" s="28"/>
      <c r="C476" s="28"/>
      <c r="D476" s="28"/>
      <c r="E476" s="28"/>
      <c r="F476" s="28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 ht="15.75" customHeight="1">
      <c r="A477" s="28"/>
      <c r="B477" s="28"/>
      <c r="C477" s="28"/>
      <c r="D477" s="28"/>
      <c r="E477" s="28"/>
      <c r="F477" s="28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 ht="15.75" customHeight="1">
      <c r="A478" s="28"/>
      <c r="B478" s="28"/>
      <c r="C478" s="28"/>
      <c r="D478" s="28"/>
      <c r="E478" s="28"/>
      <c r="F478" s="28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 ht="15.75" customHeight="1">
      <c r="A479" s="28"/>
      <c r="B479" s="28"/>
      <c r="C479" s="28"/>
      <c r="D479" s="28"/>
      <c r="E479" s="28"/>
      <c r="F479" s="28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 ht="15.75" customHeight="1">
      <c r="A480" s="28"/>
      <c r="B480" s="28"/>
      <c r="C480" s="28"/>
      <c r="D480" s="28"/>
      <c r="E480" s="28"/>
      <c r="F480" s="28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 ht="15.75" customHeight="1">
      <c r="A481" s="28"/>
      <c r="B481" s="28"/>
      <c r="C481" s="28"/>
      <c r="D481" s="28"/>
      <c r="E481" s="28"/>
      <c r="F481" s="28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 ht="15.75" customHeight="1">
      <c r="A482" s="28"/>
      <c r="B482" s="28"/>
      <c r="C482" s="28"/>
      <c r="D482" s="28"/>
      <c r="E482" s="28"/>
      <c r="F482" s="28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 ht="15.75" customHeight="1">
      <c r="A483" s="28"/>
      <c r="B483" s="28"/>
      <c r="C483" s="28"/>
      <c r="D483" s="28"/>
      <c r="E483" s="28"/>
      <c r="F483" s="28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 ht="15.75" customHeight="1">
      <c r="A484" s="28"/>
      <c r="B484" s="28"/>
      <c r="C484" s="28"/>
      <c r="D484" s="28"/>
      <c r="E484" s="28"/>
      <c r="F484" s="28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 ht="15.75" customHeight="1">
      <c r="A485" s="28"/>
      <c r="B485" s="28"/>
      <c r="C485" s="28"/>
      <c r="D485" s="28"/>
      <c r="E485" s="28"/>
      <c r="F485" s="28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 ht="15.75" customHeight="1">
      <c r="A486" s="28"/>
      <c r="B486" s="28"/>
      <c r="C486" s="28"/>
      <c r="D486" s="28"/>
      <c r="E486" s="28"/>
      <c r="F486" s="28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 ht="15.75" customHeight="1">
      <c r="A487" s="28"/>
      <c r="B487" s="28"/>
      <c r="C487" s="28"/>
      <c r="D487" s="28"/>
      <c r="E487" s="28"/>
      <c r="F487" s="28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 ht="15.75" customHeight="1">
      <c r="A488" s="28"/>
      <c r="B488" s="28"/>
      <c r="C488" s="28"/>
      <c r="D488" s="28"/>
      <c r="E488" s="28"/>
      <c r="F488" s="28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 ht="15.75" customHeight="1">
      <c r="A489" s="28"/>
      <c r="B489" s="28"/>
      <c r="C489" s="28"/>
      <c r="D489" s="28"/>
      <c r="E489" s="28"/>
      <c r="F489" s="28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 ht="15.75" customHeight="1">
      <c r="A490" s="28"/>
      <c r="B490" s="28"/>
      <c r="C490" s="28"/>
      <c r="D490" s="28"/>
      <c r="E490" s="28"/>
      <c r="F490" s="28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 ht="15.75" customHeight="1">
      <c r="A491" s="28"/>
      <c r="B491" s="28"/>
      <c r="C491" s="28"/>
      <c r="D491" s="28"/>
      <c r="E491" s="28"/>
      <c r="F491" s="28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 ht="15.75" customHeight="1">
      <c r="A492" s="28"/>
      <c r="B492" s="28"/>
      <c r="C492" s="28"/>
      <c r="D492" s="28"/>
      <c r="E492" s="28"/>
      <c r="F492" s="28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 ht="15.75" customHeight="1">
      <c r="A493" s="28"/>
      <c r="B493" s="28"/>
      <c r="C493" s="28"/>
      <c r="D493" s="28"/>
      <c r="E493" s="28"/>
      <c r="F493" s="28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 ht="15.75" customHeight="1">
      <c r="A494" s="28"/>
      <c r="B494" s="28"/>
      <c r="C494" s="28"/>
      <c r="D494" s="28"/>
      <c r="E494" s="28"/>
      <c r="F494" s="28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 ht="15.75" customHeight="1">
      <c r="A495" s="28"/>
      <c r="B495" s="28"/>
      <c r="C495" s="28"/>
      <c r="D495" s="28"/>
      <c r="E495" s="28"/>
      <c r="F495" s="28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 ht="15.75" customHeight="1">
      <c r="A496" s="28"/>
      <c r="B496" s="28"/>
      <c r="C496" s="28"/>
      <c r="D496" s="28"/>
      <c r="E496" s="28"/>
      <c r="F496" s="28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 ht="15.75" customHeight="1">
      <c r="A497" s="28"/>
      <c r="B497" s="28"/>
      <c r="C497" s="28"/>
      <c r="D497" s="28"/>
      <c r="E497" s="28"/>
      <c r="F497" s="28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 ht="15.75" customHeight="1">
      <c r="A498" s="28"/>
      <c r="B498" s="28"/>
      <c r="C498" s="28"/>
      <c r="D498" s="28"/>
      <c r="E498" s="28"/>
      <c r="F498" s="28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 ht="15.75" customHeight="1">
      <c r="A499" s="28"/>
      <c r="B499" s="28"/>
      <c r="C499" s="28"/>
      <c r="D499" s="28"/>
      <c r="E499" s="28"/>
      <c r="F499" s="28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 ht="15.75" customHeight="1">
      <c r="A500" s="28"/>
      <c r="B500" s="28"/>
      <c r="C500" s="28"/>
      <c r="D500" s="28"/>
      <c r="E500" s="28"/>
      <c r="F500" s="28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 ht="15.75" customHeight="1">
      <c r="A501" s="28"/>
      <c r="B501" s="28"/>
      <c r="C501" s="28"/>
      <c r="D501" s="28"/>
      <c r="E501" s="28"/>
      <c r="F501" s="28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 ht="15.75" customHeight="1">
      <c r="A502" s="28"/>
      <c r="B502" s="28"/>
      <c r="C502" s="28"/>
      <c r="D502" s="28"/>
      <c r="E502" s="28"/>
      <c r="F502" s="28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 ht="15.75" customHeight="1">
      <c r="A503" s="28"/>
      <c r="B503" s="28"/>
      <c r="C503" s="28"/>
      <c r="D503" s="28"/>
      <c r="E503" s="28"/>
      <c r="F503" s="28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 ht="15.75" customHeight="1">
      <c r="A504" s="28"/>
      <c r="B504" s="28"/>
      <c r="C504" s="28"/>
      <c r="D504" s="28"/>
      <c r="E504" s="28"/>
      <c r="F504" s="28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 ht="15.75" customHeight="1">
      <c r="A505" s="28"/>
      <c r="B505" s="28"/>
      <c r="C505" s="28"/>
      <c r="D505" s="28"/>
      <c r="E505" s="28"/>
      <c r="F505" s="28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 ht="15.75" customHeight="1">
      <c r="A506" s="28"/>
      <c r="B506" s="28"/>
      <c r="C506" s="28"/>
      <c r="D506" s="28"/>
      <c r="E506" s="28"/>
      <c r="F506" s="28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 ht="15.75" customHeight="1">
      <c r="A507" s="28"/>
      <c r="B507" s="28"/>
      <c r="C507" s="28"/>
      <c r="D507" s="28"/>
      <c r="E507" s="28"/>
      <c r="F507" s="28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 ht="15.75" customHeight="1">
      <c r="A508" s="28"/>
      <c r="B508" s="28"/>
      <c r="C508" s="28"/>
      <c r="D508" s="28"/>
      <c r="E508" s="28"/>
      <c r="F508" s="28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 ht="15.75" customHeight="1">
      <c r="A509" s="28"/>
      <c r="B509" s="28"/>
      <c r="C509" s="28"/>
      <c r="D509" s="28"/>
      <c r="E509" s="28"/>
      <c r="F509" s="28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 ht="15.75" customHeight="1">
      <c r="A510" s="28"/>
      <c r="B510" s="28"/>
      <c r="C510" s="28"/>
      <c r="D510" s="28"/>
      <c r="E510" s="28"/>
      <c r="F510" s="28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 ht="15.75" customHeight="1">
      <c r="A511" s="28"/>
      <c r="B511" s="28"/>
      <c r="C511" s="28"/>
      <c r="D511" s="28"/>
      <c r="E511" s="28"/>
      <c r="F511" s="28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 ht="15.75" customHeight="1">
      <c r="A512" s="28"/>
      <c r="B512" s="28"/>
      <c r="C512" s="28"/>
      <c r="D512" s="28"/>
      <c r="E512" s="28"/>
      <c r="F512" s="28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 ht="15.75" customHeight="1">
      <c r="A513" s="28"/>
      <c r="B513" s="28"/>
      <c r="C513" s="28"/>
      <c r="D513" s="28"/>
      <c r="E513" s="28"/>
      <c r="F513" s="28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 ht="15.75" customHeight="1">
      <c r="A514" s="28"/>
      <c r="B514" s="28"/>
      <c r="C514" s="28"/>
      <c r="D514" s="28"/>
      <c r="E514" s="28"/>
      <c r="F514" s="28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 ht="15.75" customHeight="1">
      <c r="A515" s="28"/>
      <c r="B515" s="28"/>
      <c r="C515" s="28"/>
      <c r="D515" s="28"/>
      <c r="E515" s="28"/>
      <c r="F515" s="28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 ht="15.75" customHeight="1">
      <c r="A516" s="28"/>
      <c r="B516" s="28"/>
      <c r="C516" s="28"/>
      <c r="D516" s="28"/>
      <c r="E516" s="28"/>
      <c r="F516" s="28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 ht="15.75" customHeight="1">
      <c r="A517" s="28"/>
      <c r="B517" s="28"/>
      <c r="C517" s="28"/>
      <c r="D517" s="28"/>
      <c r="E517" s="28"/>
      <c r="F517" s="28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 ht="15.75" customHeight="1">
      <c r="A518" s="28"/>
      <c r="B518" s="28"/>
      <c r="C518" s="28"/>
      <c r="D518" s="28"/>
      <c r="E518" s="28"/>
      <c r="F518" s="28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 ht="15.75" customHeight="1">
      <c r="A519" s="28"/>
      <c r="B519" s="28"/>
      <c r="C519" s="28"/>
      <c r="D519" s="28"/>
      <c r="E519" s="28"/>
      <c r="F519" s="28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 ht="15.75" customHeight="1">
      <c r="A520" s="28"/>
      <c r="B520" s="28"/>
      <c r="C520" s="28"/>
      <c r="D520" s="28"/>
      <c r="E520" s="28"/>
      <c r="F520" s="28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 ht="15.75" customHeight="1">
      <c r="A521" s="28"/>
      <c r="B521" s="28"/>
      <c r="C521" s="28"/>
      <c r="D521" s="28"/>
      <c r="E521" s="28"/>
      <c r="F521" s="28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 ht="15.75" customHeight="1">
      <c r="A522" s="28"/>
      <c r="B522" s="28"/>
      <c r="C522" s="28"/>
      <c r="D522" s="28"/>
      <c r="E522" s="28"/>
      <c r="F522" s="28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 ht="15.75" customHeight="1">
      <c r="A523" s="28"/>
      <c r="B523" s="28"/>
      <c r="C523" s="28"/>
      <c r="D523" s="28"/>
      <c r="E523" s="28"/>
      <c r="F523" s="28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 ht="15.75" customHeight="1">
      <c r="A524" s="28"/>
      <c r="B524" s="28"/>
      <c r="C524" s="28"/>
      <c r="D524" s="28"/>
      <c r="E524" s="28"/>
      <c r="F524" s="28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 ht="15.75" customHeight="1">
      <c r="A525" s="28"/>
      <c r="B525" s="28"/>
      <c r="C525" s="28"/>
      <c r="D525" s="28"/>
      <c r="E525" s="28"/>
      <c r="F525" s="28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 ht="15.75" customHeight="1">
      <c r="A526" s="28"/>
      <c r="B526" s="28"/>
      <c r="C526" s="28"/>
      <c r="D526" s="28"/>
      <c r="E526" s="28"/>
      <c r="F526" s="28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 ht="15.75" customHeight="1">
      <c r="A527" s="28"/>
      <c r="B527" s="28"/>
      <c r="C527" s="28"/>
      <c r="D527" s="28"/>
      <c r="E527" s="28"/>
      <c r="F527" s="28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 ht="15.75" customHeight="1">
      <c r="A528" s="28"/>
      <c r="B528" s="28"/>
      <c r="C528" s="28"/>
      <c r="D528" s="28"/>
      <c r="E528" s="28"/>
      <c r="F528" s="28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 ht="15.75" customHeight="1">
      <c r="A529" s="28"/>
      <c r="B529" s="28"/>
      <c r="C529" s="28"/>
      <c r="D529" s="28"/>
      <c r="E529" s="28"/>
      <c r="F529" s="28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 ht="15.75" customHeight="1">
      <c r="A530" s="28"/>
      <c r="B530" s="28"/>
      <c r="C530" s="28"/>
      <c r="D530" s="28"/>
      <c r="E530" s="28"/>
      <c r="F530" s="28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 ht="15.75" customHeight="1">
      <c r="A531" s="28"/>
      <c r="B531" s="28"/>
      <c r="C531" s="28"/>
      <c r="D531" s="28"/>
      <c r="E531" s="28"/>
      <c r="F531" s="28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 ht="15.75" customHeight="1">
      <c r="A532" s="28"/>
      <c r="B532" s="28"/>
      <c r="C532" s="28"/>
      <c r="D532" s="28"/>
      <c r="E532" s="28"/>
      <c r="F532" s="28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 ht="15.75" customHeight="1">
      <c r="A533" s="28"/>
      <c r="B533" s="28"/>
      <c r="C533" s="28"/>
      <c r="D533" s="28"/>
      <c r="E533" s="28"/>
      <c r="F533" s="28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 ht="15.75" customHeight="1">
      <c r="A534" s="28"/>
      <c r="B534" s="28"/>
      <c r="C534" s="28"/>
      <c r="D534" s="28"/>
      <c r="E534" s="28"/>
      <c r="F534" s="28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 ht="15.75" customHeight="1">
      <c r="A535" s="28"/>
      <c r="B535" s="28"/>
      <c r="C535" s="28"/>
      <c r="D535" s="28"/>
      <c r="E535" s="28"/>
      <c r="F535" s="28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 ht="15.75" customHeight="1">
      <c r="A536" s="28"/>
      <c r="B536" s="28"/>
      <c r="C536" s="28"/>
      <c r="D536" s="28"/>
      <c r="E536" s="28"/>
      <c r="F536" s="28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 ht="15.75" customHeight="1">
      <c r="A537" s="28"/>
      <c r="B537" s="28"/>
      <c r="C537" s="28"/>
      <c r="D537" s="28"/>
      <c r="E537" s="28"/>
      <c r="F537" s="28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 ht="15.75" customHeight="1">
      <c r="A538" s="28"/>
      <c r="B538" s="28"/>
      <c r="C538" s="28"/>
      <c r="D538" s="28"/>
      <c r="E538" s="28"/>
      <c r="F538" s="28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 ht="15.75" customHeight="1">
      <c r="A539" s="28"/>
      <c r="B539" s="28"/>
      <c r="C539" s="28"/>
      <c r="D539" s="28"/>
      <c r="E539" s="28"/>
      <c r="F539" s="28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 ht="15.75" customHeight="1">
      <c r="A540" s="28"/>
      <c r="B540" s="28"/>
      <c r="C540" s="28"/>
      <c r="D540" s="28"/>
      <c r="E540" s="28"/>
      <c r="F540" s="28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 ht="15.75" customHeight="1">
      <c r="A541" s="28"/>
      <c r="B541" s="28"/>
      <c r="C541" s="28"/>
      <c r="D541" s="28"/>
      <c r="E541" s="28"/>
      <c r="F541" s="28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 ht="15.75" customHeight="1">
      <c r="A542" s="28"/>
      <c r="B542" s="28"/>
      <c r="C542" s="28"/>
      <c r="D542" s="28"/>
      <c r="E542" s="28"/>
      <c r="F542" s="28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 ht="15.75" customHeight="1">
      <c r="A543" s="28"/>
      <c r="B543" s="28"/>
      <c r="C543" s="28"/>
      <c r="D543" s="28"/>
      <c r="E543" s="28"/>
      <c r="F543" s="28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 ht="15.75" customHeight="1">
      <c r="A544" s="28"/>
      <c r="B544" s="28"/>
      <c r="C544" s="28"/>
      <c r="D544" s="28"/>
      <c r="E544" s="28"/>
      <c r="F544" s="28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 ht="15.75" customHeight="1">
      <c r="A545" s="28"/>
      <c r="B545" s="28"/>
      <c r="C545" s="28"/>
      <c r="D545" s="28"/>
      <c r="E545" s="28"/>
      <c r="F545" s="28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 ht="15.75" customHeight="1">
      <c r="A546" s="28"/>
      <c r="B546" s="28"/>
      <c r="C546" s="28"/>
      <c r="D546" s="28"/>
      <c r="E546" s="28"/>
      <c r="F546" s="28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 ht="15.75" customHeight="1">
      <c r="A547" s="28"/>
      <c r="B547" s="28"/>
      <c r="C547" s="28"/>
      <c r="D547" s="28"/>
      <c r="E547" s="28"/>
      <c r="F547" s="28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 ht="15.75" customHeight="1">
      <c r="A548" s="28"/>
      <c r="B548" s="28"/>
      <c r="C548" s="28"/>
      <c r="D548" s="28"/>
      <c r="E548" s="28"/>
      <c r="F548" s="28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 ht="15.75" customHeight="1">
      <c r="A549" s="28"/>
      <c r="B549" s="28"/>
      <c r="C549" s="28"/>
      <c r="D549" s="28"/>
      <c r="E549" s="28"/>
      <c r="F549" s="28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 ht="15.75" customHeight="1">
      <c r="A550" s="28"/>
      <c r="B550" s="28"/>
      <c r="C550" s="28"/>
      <c r="D550" s="28"/>
      <c r="E550" s="28"/>
      <c r="F550" s="28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 ht="15.75" customHeight="1">
      <c r="A551" s="28"/>
      <c r="B551" s="28"/>
      <c r="C551" s="28"/>
      <c r="D551" s="28"/>
      <c r="E551" s="28"/>
      <c r="F551" s="28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 ht="15.75" customHeight="1">
      <c r="A552" s="28"/>
      <c r="B552" s="28"/>
      <c r="C552" s="28"/>
      <c r="D552" s="28"/>
      <c r="E552" s="28"/>
      <c r="F552" s="28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 ht="15.75" customHeight="1">
      <c r="A553" s="28"/>
      <c r="B553" s="28"/>
      <c r="C553" s="28"/>
      <c r="D553" s="28"/>
      <c r="E553" s="28"/>
      <c r="F553" s="28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 ht="15.75" customHeight="1">
      <c r="A554" s="28"/>
      <c r="B554" s="28"/>
      <c r="C554" s="28"/>
      <c r="D554" s="28"/>
      <c r="E554" s="28"/>
      <c r="F554" s="28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 ht="15.75" customHeight="1">
      <c r="A555" s="28"/>
      <c r="B555" s="28"/>
      <c r="C555" s="28"/>
      <c r="D555" s="28"/>
      <c r="E555" s="28"/>
      <c r="F555" s="28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 ht="15.75" customHeight="1">
      <c r="A556" s="28"/>
      <c r="B556" s="28"/>
      <c r="C556" s="28"/>
      <c r="D556" s="28"/>
      <c r="E556" s="28"/>
      <c r="F556" s="28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 ht="15.75" customHeight="1">
      <c r="A557" s="28"/>
      <c r="B557" s="28"/>
      <c r="C557" s="28"/>
      <c r="D557" s="28"/>
      <c r="E557" s="28"/>
      <c r="F557" s="28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 ht="15.75" customHeight="1">
      <c r="A558" s="28"/>
      <c r="B558" s="28"/>
      <c r="C558" s="28"/>
      <c r="D558" s="28"/>
      <c r="E558" s="28"/>
      <c r="F558" s="28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 ht="15.75" customHeight="1">
      <c r="A559" s="28"/>
      <c r="B559" s="28"/>
      <c r="C559" s="28"/>
      <c r="D559" s="28"/>
      <c r="E559" s="28"/>
      <c r="F559" s="28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 ht="15.75" customHeight="1">
      <c r="A560" s="28"/>
      <c r="B560" s="28"/>
      <c r="C560" s="28"/>
      <c r="D560" s="28"/>
      <c r="E560" s="28"/>
      <c r="F560" s="28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 ht="15.75" customHeight="1">
      <c r="A561" s="28"/>
      <c r="B561" s="28"/>
      <c r="C561" s="28"/>
      <c r="D561" s="28"/>
      <c r="E561" s="28"/>
      <c r="F561" s="28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 ht="15.75" customHeight="1">
      <c r="A562" s="28"/>
      <c r="B562" s="28"/>
      <c r="C562" s="28"/>
      <c r="D562" s="28"/>
      <c r="E562" s="28"/>
      <c r="F562" s="28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 ht="15.75" customHeight="1">
      <c r="A563" s="28"/>
      <c r="B563" s="28"/>
      <c r="C563" s="28"/>
      <c r="D563" s="28"/>
      <c r="E563" s="28"/>
      <c r="F563" s="28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 ht="15.75" customHeight="1">
      <c r="A564" s="28"/>
      <c r="B564" s="28"/>
      <c r="C564" s="28"/>
      <c r="D564" s="28"/>
      <c r="E564" s="28"/>
      <c r="F564" s="28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 ht="15.75" customHeight="1">
      <c r="A565" s="28"/>
      <c r="B565" s="28"/>
      <c r="C565" s="28"/>
      <c r="D565" s="28"/>
      <c r="E565" s="28"/>
      <c r="F565" s="28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 ht="15.75" customHeight="1">
      <c r="A566" s="28"/>
      <c r="B566" s="28"/>
      <c r="C566" s="28"/>
      <c r="D566" s="28"/>
      <c r="E566" s="28"/>
      <c r="F566" s="28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 ht="15.75" customHeight="1">
      <c r="A567" s="28"/>
      <c r="B567" s="28"/>
      <c r="C567" s="28"/>
      <c r="D567" s="28"/>
      <c r="E567" s="28"/>
      <c r="F567" s="28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 ht="15.75" customHeight="1">
      <c r="A568" s="28"/>
      <c r="B568" s="28"/>
      <c r="C568" s="28"/>
      <c r="D568" s="28"/>
      <c r="E568" s="28"/>
      <c r="F568" s="28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 ht="15.75" customHeight="1">
      <c r="A569" s="28"/>
      <c r="B569" s="28"/>
      <c r="C569" s="28"/>
      <c r="D569" s="28"/>
      <c r="E569" s="28"/>
      <c r="F569" s="28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 ht="15.75" customHeight="1">
      <c r="A570" s="28"/>
      <c r="B570" s="28"/>
      <c r="C570" s="28"/>
      <c r="D570" s="28"/>
      <c r="E570" s="28"/>
      <c r="F570" s="28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 ht="15.75" customHeight="1">
      <c r="A571" s="28"/>
      <c r="B571" s="28"/>
      <c r="C571" s="28"/>
      <c r="D571" s="28"/>
      <c r="E571" s="28"/>
      <c r="F571" s="28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 ht="15.75" customHeight="1">
      <c r="A572" s="28"/>
      <c r="B572" s="28"/>
      <c r="C572" s="28"/>
      <c r="D572" s="28"/>
      <c r="E572" s="28"/>
      <c r="F572" s="28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 ht="15.75" customHeight="1">
      <c r="A573" s="28"/>
      <c r="B573" s="28"/>
      <c r="C573" s="28"/>
      <c r="D573" s="28"/>
      <c r="E573" s="28"/>
      <c r="F573" s="28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 ht="15.75" customHeight="1">
      <c r="A574" s="28"/>
      <c r="B574" s="28"/>
      <c r="C574" s="28"/>
      <c r="D574" s="28"/>
      <c r="E574" s="28"/>
      <c r="F574" s="28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 ht="15.75" customHeight="1">
      <c r="A575" s="28"/>
      <c r="B575" s="28"/>
      <c r="C575" s="28"/>
      <c r="D575" s="28"/>
      <c r="E575" s="28"/>
      <c r="F575" s="28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 ht="15.75" customHeight="1">
      <c r="A576" s="28"/>
      <c r="B576" s="28"/>
      <c r="C576" s="28"/>
      <c r="D576" s="28"/>
      <c r="E576" s="28"/>
      <c r="F576" s="28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 ht="15.75" customHeight="1">
      <c r="A577" s="28"/>
      <c r="B577" s="28"/>
      <c r="C577" s="28"/>
      <c r="D577" s="28"/>
      <c r="E577" s="28"/>
      <c r="F577" s="28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 ht="15.75" customHeight="1">
      <c r="A578" s="28"/>
      <c r="B578" s="28"/>
      <c r="C578" s="28"/>
      <c r="D578" s="28"/>
      <c r="E578" s="28"/>
      <c r="F578" s="28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 ht="15.75" customHeight="1">
      <c r="A579" s="28"/>
      <c r="B579" s="28"/>
      <c r="C579" s="28"/>
      <c r="D579" s="28"/>
      <c r="E579" s="28"/>
      <c r="F579" s="28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 ht="15.75" customHeight="1">
      <c r="A580" s="28"/>
      <c r="B580" s="28"/>
      <c r="C580" s="28"/>
      <c r="D580" s="28"/>
      <c r="E580" s="28"/>
      <c r="F580" s="28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 ht="15.75" customHeight="1">
      <c r="A581" s="28"/>
      <c r="B581" s="28"/>
      <c r="C581" s="28"/>
      <c r="D581" s="28"/>
      <c r="E581" s="28"/>
      <c r="F581" s="28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 ht="15.75" customHeight="1">
      <c r="A582" s="28"/>
      <c r="B582" s="28"/>
      <c r="C582" s="28"/>
      <c r="D582" s="28"/>
      <c r="E582" s="28"/>
      <c r="F582" s="28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 ht="15.75" customHeight="1">
      <c r="A583" s="28"/>
      <c r="B583" s="28"/>
      <c r="C583" s="28"/>
      <c r="D583" s="28"/>
      <c r="E583" s="28"/>
      <c r="F583" s="28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 ht="15.75" customHeight="1">
      <c r="A584" s="28"/>
      <c r="B584" s="28"/>
      <c r="C584" s="28"/>
      <c r="D584" s="28"/>
      <c r="E584" s="28"/>
      <c r="F584" s="28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 ht="15.75" customHeight="1">
      <c r="A585" s="28"/>
      <c r="B585" s="28"/>
      <c r="C585" s="28"/>
      <c r="D585" s="28"/>
      <c r="E585" s="28"/>
      <c r="F585" s="28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 ht="15.75" customHeight="1">
      <c r="A586" s="28"/>
      <c r="B586" s="28"/>
      <c r="C586" s="28"/>
      <c r="D586" s="28"/>
      <c r="E586" s="28"/>
      <c r="F586" s="28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 ht="15.75" customHeight="1">
      <c r="A587" s="28"/>
      <c r="B587" s="28"/>
      <c r="C587" s="28"/>
      <c r="D587" s="28"/>
      <c r="E587" s="28"/>
      <c r="F587" s="28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 ht="15.75" customHeight="1">
      <c r="A588" s="28"/>
      <c r="B588" s="28"/>
      <c r="C588" s="28"/>
      <c r="D588" s="28"/>
      <c r="E588" s="28"/>
      <c r="F588" s="28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 ht="15.75" customHeight="1">
      <c r="A589" s="28"/>
      <c r="B589" s="28"/>
      <c r="C589" s="28"/>
      <c r="D589" s="28"/>
      <c r="E589" s="28"/>
      <c r="F589" s="28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 ht="15.75" customHeight="1">
      <c r="A590" s="28"/>
      <c r="B590" s="28"/>
      <c r="C590" s="28"/>
      <c r="D590" s="28"/>
      <c r="E590" s="28"/>
      <c r="F590" s="28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 ht="15.75" customHeight="1">
      <c r="A591" s="28"/>
      <c r="B591" s="28"/>
      <c r="C591" s="28"/>
      <c r="D591" s="28"/>
      <c r="E591" s="28"/>
      <c r="F591" s="28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 ht="15.75" customHeight="1">
      <c r="A592" s="28"/>
      <c r="B592" s="28"/>
      <c r="C592" s="28"/>
      <c r="D592" s="28"/>
      <c r="E592" s="28"/>
      <c r="F592" s="28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 ht="15.75" customHeight="1">
      <c r="A593" s="28"/>
      <c r="B593" s="28"/>
      <c r="C593" s="28"/>
      <c r="D593" s="28"/>
      <c r="E593" s="28"/>
      <c r="F593" s="28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 ht="15.75" customHeight="1">
      <c r="A594" s="28"/>
      <c r="B594" s="28"/>
      <c r="C594" s="28"/>
      <c r="D594" s="28"/>
      <c r="E594" s="28"/>
      <c r="F594" s="28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 ht="15.75" customHeight="1">
      <c r="A595" s="28"/>
      <c r="B595" s="28"/>
      <c r="C595" s="28"/>
      <c r="D595" s="28"/>
      <c r="E595" s="28"/>
      <c r="F595" s="28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 ht="15.75" customHeight="1">
      <c r="A596" s="28"/>
      <c r="B596" s="28"/>
      <c r="C596" s="28"/>
      <c r="D596" s="28"/>
      <c r="E596" s="28"/>
      <c r="F596" s="28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 ht="15.75" customHeight="1">
      <c r="A597" s="28"/>
      <c r="B597" s="28"/>
      <c r="C597" s="28"/>
      <c r="D597" s="28"/>
      <c r="E597" s="28"/>
      <c r="F597" s="28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 ht="15.75" customHeight="1">
      <c r="A598" s="28"/>
      <c r="B598" s="28"/>
      <c r="C598" s="28"/>
      <c r="D598" s="28"/>
      <c r="E598" s="28"/>
      <c r="F598" s="28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 ht="15.75" customHeight="1">
      <c r="A599" s="28"/>
      <c r="B599" s="28"/>
      <c r="C599" s="28"/>
      <c r="D599" s="28"/>
      <c r="E599" s="28"/>
      <c r="F599" s="28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 ht="15.75" customHeight="1">
      <c r="A600" s="28"/>
      <c r="B600" s="28"/>
      <c r="C600" s="28"/>
      <c r="D600" s="28"/>
      <c r="E600" s="28"/>
      <c r="F600" s="28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 ht="15.75" customHeight="1">
      <c r="A601" s="28"/>
      <c r="B601" s="28"/>
      <c r="C601" s="28"/>
      <c r="D601" s="28"/>
      <c r="E601" s="28"/>
      <c r="F601" s="28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 ht="15.75" customHeight="1">
      <c r="A602" s="28"/>
      <c r="B602" s="28"/>
      <c r="C602" s="28"/>
      <c r="D602" s="28"/>
      <c r="E602" s="28"/>
      <c r="F602" s="28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 ht="15.75" customHeight="1">
      <c r="A603" s="28"/>
      <c r="B603" s="28"/>
      <c r="C603" s="28"/>
      <c r="D603" s="28"/>
      <c r="E603" s="28"/>
      <c r="F603" s="28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 ht="15.75" customHeight="1">
      <c r="A604" s="28"/>
      <c r="B604" s="28"/>
      <c r="C604" s="28"/>
      <c r="D604" s="28"/>
      <c r="E604" s="28"/>
      <c r="F604" s="28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 ht="15.75" customHeight="1">
      <c r="A605" s="28"/>
      <c r="B605" s="28"/>
      <c r="C605" s="28"/>
      <c r="D605" s="28"/>
      <c r="E605" s="28"/>
      <c r="F605" s="28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 ht="15.75" customHeight="1">
      <c r="A606" s="28"/>
      <c r="B606" s="28"/>
      <c r="C606" s="28"/>
      <c r="D606" s="28"/>
      <c r="E606" s="28"/>
      <c r="F606" s="28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 ht="15.75" customHeight="1">
      <c r="A607" s="28"/>
      <c r="B607" s="28"/>
      <c r="C607" s="28"/>
      <c r="D607" s="28"/>
      <c r="E607" s="28"/>
      <c r="F607" s="28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 ht="15.75" customHeight="1">
      <c r="A608" s="28"/>
      <c r="B608" s="28"/>
      <c r="C608" s="28"/>
      <c r="D608" s="28"/>
      <c r="E608" s="28"/>
      <c r="F608" s="28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 ht="15.75" customHeight="1">
      <c r="A609" s="28"/>
      <c r="B609" s="28"/>
      <c r="C609" s="28"/>
      <c r="D609" s="28"/>
      <c r="E609" s="28"/>
      <c r="F609" s="28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 ht="15.75" customHeight="1">
      <c r="A610" s="28"/>
      <c r="B610" s="28"/>
      <c r="C610" s="28"/>
      <c r="D610" s="28"/>
      <c r="E610" s="28"/>
      <c r="F610" s="28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 ht="15.75" customHeight="1">
      <c r="A611" s="28"/>
      <c r="B611" s="28"/>
      <c r="C611" s="28"/>
      <c r="D611" s="28"/>
      <c r="E611" s="28"/>
      <c r="F611" s="28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 ht="15.75" customHeight="1">
      <c r="A612" s="28"/>
      <c r="B612" s="28"/>
      <c r="C612" s="28"/>
      <c r="D612" s="28"/>
      <c r="E612" s="28"/>
      <c r="F612" s="28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 ht="15.75" customHeight="1">
      <c r="A613" s="28"/>
      <c r="B613" s="28"/>
      <c r="C613" s="28"/>
      <c r="D613" s="28"/>
      <c r="E613" s="28"/>
      <c r="F613" s="28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 ht="15.75" customHeight="1">
      <c r="A614" s="28"/>
      <c r="B614" s="28"/>
      <c r="C614" s="28"/>
      <c r="D614" s="28"/>
      <c r="E614" s="28"/>
      <c r="F614" s="28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 ht="15.75" customHeight="1">
      <c r="A615" s="28"/>
      <c r="B615" s="28"/>
      <c r="C615" s="28"/>
      <c r="D615" s="28"/>
      <c r="E615" s="28"/>
      <c r="F615" s="28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 ht="15.75" customHeight="1">
      <c r="A616" s="28"/>
      <c r="B616" s="28"/>
      <c r="C616" s="28"/>
      <c r="D616" s="28"/>
      <c r="E616" s="28"/>
      <c r="F616" s="28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 ht="15.75" customHeight="1">
      <c r="A617" s="28"/>
      <c r="B617" s="28"/>
      <c r="C617" s="28"/>
      <c r="D617" s="28"/>
      <c r="E617" s="28"/>
      <c r="F617" s="28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 ht="15.75" customHeight="1">
      <c r="A618" s="28"/>
      <c r="B618" s="28"/>
      <c r="C618" s="28"/>
      <c r="D618" s="28"/>
      <c r="E618" s="28"/>
      <c r="F618" s="28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 ht="15.75" customHeight="1">
      <c r="A619" s="28"/>
      <c r="B619" s="28"/>
      <c r="C619" s="28"/>
      <c r="D619" s="28"/>
      <c r="E619" s="28"/>
      <c r="F619" s="28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 ht="15.75" customHeight="1">
      <c r="A620" s="28"/>
      <c r="B620" s="28"/>
      <c r="C620" s="28"/>
      <c r="D620" s="28"/>
      <c r="E620" s="28"/>
      <c r="F620" s="28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 ht="15.75" customHeight="1">
      <c r="A621" s="28"/>
      <c r="B621" s="28"/>
      <c r="C621" s="28"/>
      <c r="D621" s="28"/>
      <c r="E621" s="28"/>
      <c r="F621" s="28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 ht="15.75" customHeight="1">
      <c r="A622" s="28"/>
      <c r="B622" s="28"/>
      <c r="C622" s="28"/>
      <c r="D622" s="28"/>
      <c r="E622" s="28"/>
      <c r="F622" s="28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 ht="15.75" customHeight="1">
      <c r="A623" s="28"/>
      <c r="B623" s="28"/>
      <c r="C623" s="28"/>
      <c r="D623" s="28"/>
      <c r="E623" s="28"/>
      <c r="F623" s="28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 ht="15.75" customHeight="1">
      <c r="A624" s="28"/>
      <c r="B624" s="28"/>
      <c r="C624" s="28"/>
      <c r="D624" s="28"/>
      <c r="E624" s="28"/>
      <c r="F624" s="28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 ht="15.75" customHeight="1">
      <c r="A625" s="28"/>
      <c r="B625" s="28"/>
      <c r="C625" s="28"/>
      <c r="D625" s="28"/>
      <c r="E625" s="28"/>
      <c r="F625" s="28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 ht="15.75" customHeight="1">
      <c r="A626" s="28"/>
      <c r="B626" s="28"/>
      <c r="C626" s="28"/>
      <c r="D626" s="28"/>
      <c r="E626" s="28"/>
      <c r="F626" s="28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 ht="15.75" customHeight="1">
      <c r="A627" s="28"/>
      <c r="B627" s="28"/>
      <c r="C627" s="28"/>
      <c r="D627" s="28"/>
      <c r="E627" s="28"/>
      <c r="F627" s="28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 ht="15.75" customHeight="1">
      <c r="A628" s="28"/>
      <c r="B628" s="28"/>
      <c r="C628" s="28"/>
      <c r="D628" s="28"/>
      <c r="E628" s="28"/>
      <c r="F628" s="28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 ht="15.75" customHeight="1">
      <c r="A629" s="28"/>
      <c r="B629" s="28"/>
      <c r="C629" s="28"/>
      <c r="D629" s="28"/>
      <c r="E629" s="28"/>
      <c r="F629" s="28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 ht="15.75" customHeight="1">
      <c r="A630" s="28"/>
      <c r="B630" s="28"/>
      <c r="C630" s="28"/>
      <c r="D630" s="28"/>
      <c r="E630" s="28"/>
      <c r="F630" s="28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 ht="15.75" customHeight="1">
      <c r="A631" s="28"/>
      <c r="B631" s="28"/>
      <c r="C631" s="28"/>
      <c r="D631" s="28"/>
      <c r="E631" s="28"/>
      <c r="F631" s="28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 ht="15.75" customHeight="1">
      <c r="A632" s="28"/>
      <c r="B632" s="28"/>
      <c r="C632" s="28"/>
      <c r="D632" s="28"/>
      <c r="E632" s="28"/>
      <c r="F632" s="28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 ht="15.75" customHeight="1">
      <c r="A633" s="28"/>
      <c r="B633" s="28"/>
      <c r="C633" s="28"/>
      <c r="D633" s="28"/>
      <c r="E633" s="28"/>
      <c r="F633" s="28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 ht="15.75" customHeight="1">
      <c r="A634" s="28"/>
      <c r="B634" s="28"/>
      <c r="C634" s="28"/>
      <c r="D634" s="28"/>
      <c r="E634" s="28"/>
      <c r="F634" s="28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 ht="15.75" customHeight="1">
      <c r="A635" s="28"/>
      <c r="B635" s="28"/>
      <c r="C635" s="28"/>
      <c r="D635" s="28"/>
      <c r="E635" s="28"/>
      <c r="F635" s="28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 ht="15.75" customHeight="1">
      <c r="A636" s="28"/>
      <c r="B636" s="28"/>
      <c r="C636" s="28"/>
      <c r="D636" s="28"/>
      <c r="E636" s="28"/>
      <c r="F636" s="28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 ht="15.75" customHeight="1">
      <c r="A637" s="28"/>
      <c r="B637" s="28"/>
      <c r="C637" s="28"/>
      <c r="D637" s="28"/>
      <c r="E637" s="28"/>
      <c r="F637" s="28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 ht="15.75" customHeight="1">
      <c r="A638" s="28"/>
      <c r="B638" s="28"/>
      <c r="C638" s="28"/>
      <c r="D638" s="28"/>
      <c r="E638" s="28"/>
      <c r="F638" s="28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 ht="15.75" customHeight="1">
      <c r="A639" s="28"/>
      <c r="B639" s="28"/>
      <c r="C639" s="28"/>
      <c r="D639" s="28"/>
      <c r="E639" s="28"/>
      <c r="F639" s="28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 ht="15.75" customHeight="1">
      <c r="A640" s="28"/>
      <c r="B640" s="28"/>
      <c r="C640" s="28"/>
      <c r="D640" s="28"/>
      <c r="E640" s="28"/>
      <c r="F640" s="28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 ht="15.75" customHeight="1">
      <c r="A641" s="28"/>
      <c r="B641" s="28"/>
      <c r="C641" s="28"/>
      <c r="D641" s="28"/>
      <c r="E641" s="28"/>
      <c r="F641" s="28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 ht="15.75" customHeight="1">
      <c r="A642" s="28"/>
      <c r="B642" s="28"/>
      <c r="C642" s="28"/>
      <c r="D642" s="28"/>
      <c r="E642" s="28"/>
      <c r="F642" s="28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 ht="15.75" customHeight="1">
      <c r="A643" s="28"/>
      <c r="B643" s="28"/>
      <c r="C643" s="28"/>
      <c r="D643" s="28"/>
      <c r="E643" s="28"/>
      <c r="F643" s="28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 ht="15.75" customHeight="1">
      <c r="A644" s="28"/>
      <c r="B644" s="28"/>
      <c r="C644" s="28"/>
      <c r="D644" s="28"/>
      <c r="E644" s="28"/>
      <c r="F644" s="28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 ht="15.75" customHeight="1">
      <c r="A645" s="28"/>
      <c r="B645" s="28"/>
      <c r="C645" s="28"/>
      <c r="D645" s="28"/>
      <c r="E645" s="28"/>
      <c r="F645" s="28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 ht="15.75" customHeight="1">
      <c r="A646" s="28"/>
      <c r="B646" s="28"/>
      <c r="C646" s="28"/>
      <c r="D646" s="28"/>
      <c r="E646" s="28"/>
      <c r="F646" s="28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 ht="15.75" customHeight="1">
      <c r="A647" s="28"/>
      <c r="B647" s="28"/>
      <c r="C647" s="28"/>
      <c r="D647" s="28"/>
      <c r="E647" s="28"/>
      <c r="F647" s="28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 ht="15.75" customHeight="1">
      <c r="A648" s="28"/>
      <c r="B648" s="28"/>
      <c r="C648" s="28"/>
      <c r="D648" s="28"/>
      <c r="E648" s="28"/>
      <c r="F648" s="28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 ht="15.75" customHeight="1">
      <c r="A649" s="28"/>
      <c r="B649" s="28"/>
      <c r="C649" s="28"/>
      <c r="D649" s="28"/>
      <c r="E649" s="28"/>
      <c r="F649" s="28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 ht="15.75" customHeight="1">
      <c r="A650" s="28"/>
      <c r="B650" s="28"/>
      <c r="C650" s="28"/>
      <c r="D650" s="28"/>
      <c r="E650" s="28"/>
      <c r="F650" s="28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 ht="15.75" customHeight="1">
      <c r="A651" s="28"/>
      <c r="B651" s="28"/>
      <c r="C651" s="28"/>
      <c r="D651" s="28"/>
      <c r="E651" s="28"/>
      <c r="F651" s="28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 ht="15.75" customHeight="1">
      <c r="A652" s="28"/>
      <c r="B652" s="28"/>
      <c r="C652" s="28"/>
      <c r="D652" s="28"/>
      <c r="E652" s="28"/>
      <c r="F652" s="28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 ht="15.75" customHeight="1">
      <c r="A653" s="28"/>
      <c r="B653" s="28"/>
      <c r="C653" s="28"/>
      <c r="D653" s="28"/>
      <c r="E653" s="28"/>
      <c r="F653" s="28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 ht="15.75" customHeight="1">
      <c r="A654" s="28"/>
      <c r="B654" s="28"/>
      <c r="C654" s="28"/>
      <c r="D654" s="28"/>
      <c r="E654" s="28"/>
      <c r="F654" s="28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 ht="15.75" customHeight="1">
      <c r="A655" s="28"/>
      <c r="B655" s="28"/>
      <c r="C655" s="28"/>
      <c r="D655" s="28"/>
      <c r="E655" s="28"/>
      <c r="F655" s="28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 ht="15.75" customHeight="1">
      <c r="A656" s="28"/>
      <c r="B656" s="28"/>
      <c r="C656" s="28"/>
      <c r="D656" s="28"/>
      <c r="E656" s="28"/>
      <c r="F656" s="28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 ht="15.75" customHeight="1">
      <c r="A657" s="28"/>
      <c r="B657" s="28"/>
      <c r="C657" s="28"/>
      <c r="D657" s="28"/>
      <c r="E657" s="28"/>
      <c r="F657" s="28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 ht="15.75" customHeight="1">
      <c r="A658" s="28"/>
      <c r="B658" s="28"/>
      <c r="C658" s="28"/>
      <c r="D658" s="28"/>
      <c r="E658" s="28"/>
      <c r="F658" s="28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 ht="15.75" customHeight="1">
      <c r="A659" s="28"/>
      <c r="B659" s="28"/>
      <c r="C659" s="28"/>
      <c r="D659" s="28"/>
      <c r="E659" s="28"/>
      <c r="F659" s="28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 ht="15.75" customHeight="1">
      <c r="A660" s="28"/>
      <c r="B660" s="28"/>
      <c r="C660" s="28"/>
      <c r="D660" s="28"/>
      <c r="E660" s="28"/>
      <c r="F660" s="28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 ht="15.75" customHeight="1">
      <c r="A661" s="28"/>
      <c r="B661" s="28"/>
      <c r="C661" s="28"/>
      <c r="D661" s="28"/>
      <c r="E661" s="28"/>
      <c r="F661" s="28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 ht="15.75" customHeight="1">
      <c r="A662" s="28"/>
      <c r="B662" s="28"/>
      <c r="C662" s="28"/>
      <c r="D662" s="28"/>
      <c r="E662" s="28"/>
      <c r="F662" s="28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 ht="15.75" customHeight="1">
      <c r="A663" s="28"/>
      <c r="B663" s="28"/>
      <c r="C663" s="28"/>
      <c r="D663" s="28"/>
      <c r="E663" s="28"/>
      <c r="F663" s="28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 ht="15.75" customHeight="1">
      <c r="A664" s="28"/>
      <c r="B664" s="28"/>
      <c r="C664" s="28"/>
      <c r="D664" s="28"/>
      <c r="E664" s="28"/>
      <c r="F664" s="28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 ht="15.75" customHeight="1">
      <c r="A665" s="28"/>
      <c r="B665" s="28"/>
      <c r="C665" s="28"/>
      <c r="D665" s="28"/>
      <c r="E665" s="28"/>
      <c r="F665" s="28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 ht="15.75" customHeight="1">
      <c r="A666" s="28"/>
      <c r="B666" s="28"/>
      <c r="C666" s="28"/>
      <c r="D666" s="28"/>
      <c r="E666" s="28"/>
      <c r="F666" s="28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 ht="15.75" customHeight="1">
      <c r="A667" s="28"/>
      <c r="B667" s="28"/>
      <c r="C667" s="28"/>
      <c r="D667" s="28"/>
      <c r="E667" s="28"/>
      <c r="F667" s="28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 ht="15.75" customHeight="1">
      <c r="A668" s="28"/>
      <c r="B668" s="28"/>
      <c r="C668" s="28"/>
      <c r="D668" s="28"/>
      <c r="E668" s="28"/>
      <c r="F668" s="28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 ht="15.75" customHeight="1">
      <c r="A669" s="28"/>
      <c r="B669" s="28"/>
      <c r="C669" s="28"/>
      <c r="D669" s="28"/>
      <c r="E669" s="28"/>
      <c r="F669" s="28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 ht="15.75" customHeight="1">
      <c r="A670" s="28"/>
      <c r="B670" s="28"/>
      <c r="C670" s="28"/>
      <c r="D670" s="28"/>
      <c r="E670" s="28"/>
      <c r="F670" s="28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 ht="15.75" customHeight="1">
      <c r="A671" s="28"/>
      <c r="B671" s="28"/>
      <c r="C671" s="28"/>
      <c r="D671" s="28"/>
      <c r="E671" s="28"/>
      <c r="F671" s="28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 ht="15.75" customHeight="1">
      <c r="A672" s="28"/>
      <c r="B672" s="28"/>
      <c r="C672" s="28"/>
      <c r="D672" s="28"/>
      <c r="E672" s="28"/>
      <c r="F672" s="28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 ht="15.75" customHeight="1">
      <c r="A673" s="28"/>
      <c r="B673" s="28"/>
      <c r="C673" s="28"/>
      <c r="D673" s="28"/>
      <c r="E673" s="28"/>
      <c r="F673" s="28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 ht="15.75" customHeight="1">
      <c r="A674" s="28"/>
      <c r="B674" s="28"/>
      <c r="C674" s="28"/>
      <c r="D674" s="28"/>
      <c r="E674" s="28"/>
      <c r="F674" s="28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 ht="15.75" customHeight="1">
      <c r="A675" s="28"/>
      <c r="B675" s="28"/>
      <c r="C675" s="28"/>
      <c r="D675" s="28"/>
      <c r="E675" s="28"/>
      <c r="F675" s="28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 ht="15.75" customHeight="1">
      <c r="A676" s="28"/>
      <c r="B676" s="28"/>
      <c r="C676" s="28"/>
      <c r="D676" s="28"/>
      <c r="E676" s="28"/>
      <c r="F676" s="28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 ht="15.75" customHeight="1">
      <c r="A677" s="28"/>
      <c r="B677" s="28"/>
      <c r="C677" s="28"/>
      <c r="D677" s="28"/>
      <c r="E677" s="28"/>
      <c r="F677" s="28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 ht="15.75" customHeight="1">
      <c r="A678" s="28"/>
      <c r="B678" s="28"/>
      <c r="C678" s="28"/>
      <c r="D678" s="28"/>
      <c r="E678" s="28"/>
      <c r="F678" s="28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 ht="15.75" customHeight="1">
      <c r="A679" s="28"/>
      <c r="B679" s="28"/>
      <c r="C679" s="28"/>
      <c r="D679" s="28"/>
      <c r="E679" s="28"/>
      <c r="F679" s="28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 ht="15.75" customHeight="1">
      <c r="A680" s="28"/>
      <c r="B680" s="28"/>
      <c r="C680" s="28"/>
      <c r="D680" s="28"/>
      <c r="E680" s="28"/>
      <c r="F680" s="28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 ht="15.75" customHeight="1">
      <c r="A681" s="28"/>
      <c r="B681" s="28"/>
      <c r="C681" s="28"/>
      <c r="D681" s="28"/>
      <c r="E681" s="28"/>
      <c r="F681" s="28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 ht="15.75" customHeight="1">
      <c r="A682" s="28"/>
      <c r="B682" s="28"/>
      <c r="C682" s="28"/>
      <c r="D682" s="28"/>
      <c r="E682" s="28"/>
      <c r="F682" s="28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 ht="15.75" customHeight="1">
      <c r="A683" s="28"/>
      <c r="B683" s="28"/>
      <c r="C683" s="28"/>
      <c r="D683" s="28"/>
      <c r="E683" s="28"/>
      <c r="F683" s="28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 ht="15.75" customHeight="1">
      <c r="A684" s="28"/>
      <c r="B684" s="28"/>
      <c r="C684" s="28"/>
      <c r="D684" s="28"/>
      <c r="E684" s="28"/>
      <c r="F684" s="28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 ht="15.75" customHeight="1">
      <c r="A685" s="28"/>
      <c r="B685" s="28"/>
      <c r="C685" s="28"/>
      <c r="D685" s="28"/>
      <c r="E685" s="28"/>
      <c r="F685" s="28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 ht="15.75" customHeight="1">
      <c r="A686" s="28"/>
      <c r="B686" s="28"/>
      <c r="C686" s="28"/>
      <c r="D686" s="28"/>
      <c r="E686" s="28"/>
      <c r="F686" s="28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 ht="15.75" customHeight="1">
      <c r="A687" s="28"/>
      <c r="B687" s="28"/>
      <c r="C687" s="28"/>
      <c r="D687" s="28"/>
      <c r="E687" s="28"/>
      <c r="F687" s="28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 ht="15.75" customHeight="1">
      <c r="A688" s="28"/>
      <c r="B688" s="28"/>
      <c r="C688" s="28"/>
      <c r="D688" s="28"/>
      <c r="E688" s="28"/>
      <c r="F688" s="28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 ht="15.75" customHeight="1">
      <c r="A689" s="28"/>
      <c r="B689" s="28"/>
      <c r="C689" s="28"/>
      <c r="D689" s="28"/>
      <c r="E689" s="28"/>
      <c r="F689" s="28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 ht="15.75" customHeight="1">
      <c r="A690" s="28"/>
      <c r="B690" s="28"/>
      <c r="C690" s="28"/>
      <c r="D690" s="28"/>
      <c r="E690" s="28"/>
      <c r="F690" s="28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 ht="15.75" customHeight="1">
      <c r="A691" s="28"/>
      <c r="B691" s="28"/>
      <c r="C691" s="28"/>
      <c r="D691" s="28"/>
      <c r="E691" s="28"/>
      <c r="F691" s="28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 ht="15.75" customHeight="1">
      <c r="A692" s="28"/>
      <c r="B692" s="28"/>
      <c r="C692" s="28"/>
      <c r="D692" s="28"/>
      <c r="E692" s="28"/>
      <c r="F692" s="28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 ht="15.75" customHeight="1">
      <c r="A693" s="28"/>
      <c r="B693" s="28"/>
      <c r="C693" s="28"/>
      <c r="D693" s="28"/>
      <c r="E693" s="28"/>
      <c r="F693" s="28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 ht="15.75" customHeight="1">
      <c r="A694" s="28"/>
      <c r="B694" s="28"/>
      <c r="C694" s="28"/>
      <c r="D694" s="28"/>
      <c r="E694" s="28"/>
      <c r="F694" s="28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 ht="15.75" customHeight="1">
      <c r="A695" s="28"/>
      <c r="B695" s="28"/>
      <c r="C695" s="28"/>
      <c r="D695" s="28"/>
      <c r="E695" s="28"/>
      <c r="F695" s="28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 ht="15.75" customHeight="1">
      <c r="A696" s="28"/>
      <c r="B696" s="28"/>
      <c r="C696" s="28"/>
      <c r="D696" s="28"/>
      <c r="E696" s="28"/>
      <c r="F696" s="28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 ht="15.75" customHeight="1">
      <c r="A697" s="28"/>
      <c r="B697" s="28"/>
      <c r="C697" s="28"/>
      <c r="D697" s="28"/>
      <c r="E697" s="28"/>
      <c r="F697" s="28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 ht="15.75" customHeight="1">
      <c r="A698" s="28"/>
      <c r="B698" s="28"/>
      <c r="C698" s="28"/>
      <c r="D698" s="28"/>
      <c r="E698" s="28"/>
      <c r="F698" s="28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 ht="15.75" customHeight="1">
      <c r="A699" s="28"/>
      <c r="B699" s="28"/>
      <c r="C699" s="28"/>
      <c r="D699" s="28"/>
      <c r="E699" s="28"/>
      <c r="F699" s="28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 ht="15.75" customHeight="1">
      <c r="A700" s="28"/>
      <c r="B700" s="28"/>
      <c r="C700" s="28"/>
      <c r="D700" s="28"/>
      <c r="E700" s="28"/>
      <c r="F700" s="28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 ht="15.75" customHeight="1">
      <c r="A701" s="28"/>
      <c r="B701" s="28"/>
      <c r="C701" s="28"/>
      <c r="D701" s="28"/>
      <c r="E701" s="28"/>
      <c r="F701" s="28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 ht="15.75" customHeight="1">
      <c r="A702" s="28"/>
      <c r="B702" s="28"/>
      <c r="C702" s="28"/>
      <c r="D702" s="28"/>
      <c r="E702" s="28"/>
      <c r="F702" s="28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 ht="15.75" customHeight="1">
      <c r="A703" s="28"/>
      <c r="B703" s="28"/>
      <c r="C703" s="28"/>
      <c r="D703" s="28"/>
      <c r="E703" s="28"/>
      <c r="F703" s="28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 ht="15.75" customHeight="1">
      <c r="A704" s="28"/>
      <c r="B704" s="28"/>
      <c r="C704" s="28"/>
      <c r="D704" s="28"/>
      <c r="E704" s="28"/>
      <c r="F704" s="28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 ht="15.75" customHeight="1">
      <c r="A705" s="28"/>
      <c r="B705" s="28"/>
      <c r="C705" s="28"/>
      <c r="D705" s="28"/>
      <c r="E705" s="28"/>
      <c r="F705" s="28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 ht="15.75" customHeight="1">
      <c r="A706" s="28"/>
      <c r="B706" s="28"/>
      <c r="C706" s="28"/>
      <c r="D706" s="28"/>
      <c r="E706" s="28"/>
      <c r="F706" s="28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 ht="15.75" customHeight="1">
      <c r="A707" s="28"/>
      <c r="B707" s="28"/>
      <c r="C707" s="28"/>
      <c r="D707" s="28"/>
      <c r="E707" s="28"/>
      <c r="F707" s="28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 ht="15.75" customHeight="1">
      <c r="A708" s="28"/>
      <c r="B708" s="28"/>
      <c r="C708" s="28"/>
      <c r="D708" s="28"/>
      <c r="E708" s="28"/>
      <c r="F708" s="28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 ht="15.75" customHeight="1">
      <c r="A709" s="28"/>
      <c r="B709" s="28"/>
      <c r="C709" s="28"/>
      <c r="D709" s="28"/>
      <c r="E709" s="28"/>
      <c r="F709" s="28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 ht="15.75" customHeight="1">
      <c r="A710" s="28"/>
      <c r="B710" s="28"/>
      <c r="C710" s="28"/>
      <c r="D710" s="28"/>
      <c r="E710" s="28"/>
      <c r="F710" s="28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 ht="15.75" customHeight="1">
      <c r="A711" s="28"/>
      <c r="B711" s="28"/>
      <c r="C711" s="28"/>
      <c r="D711" s="28"/>
      <c r="E711" s="28"/>
      <c r="F711" s="28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 ht="15.75" customHeight="1">
      <c r="A712" s="28"/>
      <c r="B712" s="28"/>
      <c r="C712" s="28"/>
      <c r="D712" s="28"/>
      <c r="E712" s="28"/>
      <c r="F712" s="28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 ht="15.75" customHeight="1">
      <c r="A713" s="28"/>
      <c r="B713" s="28"/>
      <c r="C713" s="28"/>
      <c r="D713" s="28"/>
      <c r="E713" s="28"/>
      <c r="F713" s="28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 ht="15.75" customHeight="1">
      <c r="A714" s="28"/>
      <c r="B714" s="28"/>
      <c r="C714" s="28"/>
      <c r="D714" s="28"/>
      <c r="E714" s="28"/>
      <c r="F714" s="28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 ht="15.75" customHeight="1">
      <c r="A715" s="28"/>
      <c r="B715" s="28"/>
      <c r="C715" s="28"/>
      <c r="D715" s="28"/>
      <c r="E715" s="28"/>
      <c r="F715" s="28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 ht="15.75" customHeight="1">
      <c r="A716" s="28"/>
      <c r="B716" s="28"/>
      <c r="C716" s="28"/>
      <c r="D716" s="28"/>
      <c r="E716" s="28"/>
      <c r="F716" s="28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 ht="15.75" customHeight="1">
      <c r="A717" s="28"/>
      <c r="B717" s="28"/>
      <c r="C717" s="28"/>
      <c r="D717" s="28"/>
      <c r="E717" s="28"/>
      <c r="F717" s="28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 ht="15.75" customHeight="1">
      <c r="A718" s="28"/>
      <c r="B718" s="28"/>
      <c r="C718" s="28"/>
      <c r="D718" s="28"/>
      <c r="E718" s="28"/>
      <c r="F718" s="28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 ht="15.75" customHeight="1">
      <c r="A719" s="28"/>
      <c r="B719" s="28"/>
      <c r="C719" s="28"/>
      <c r="D719" s="28"/>
      <c r="E719" s="28"/>
      <c r="F719" s="28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 ht="15.75" customHeight="1">
      <c r="A720" s="28"/>
      <c r="B720" s="28"/>
      <c r="C720" s="28"/>
      <c r="D720" s="28"/>
      <c r="E720" s="28"/>
      <c r="F720" s="28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 ht="15.75" customHeight="1">
      <c r="A721" s="28"/>
      <c r="B721" s="28"/>
      <c r="C721" s="28"/>
      <c r="D721" s="28"/>
      <c r="E721" s="28"/>
      <c r="F721" s="28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 ht="15.75" customHeight="1">
      <c r="A722" s="28"/>
      <c r="B722" s="28"/>
      <c r="C722" s="28"/>
      <c r="D722" s="28"/>
      <c r="E722" s="28"/>
      <c r="F722" s="28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 ht="15.75" customHeight="1">
      <c r="A723" s="28"/>
      <c r="B723" s="28"/>
      <c r="C723" s="28"/>
      <c r="D723" s="28"/>
      <c r="E723" s="28"/>
      <c r="F723" s="28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 ht="15.75" customHeight="1">
      <c r="A724" s="28"/>
      <c r="B724" s="28"/>
      <c r="C724" s="28"/>
      <c r="D724" s="28"/>
      <c r="E724" s="28"/>
      <c r="F724" s="28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 ht="15.75" customHeight="1">
      <c r="A725" s="28"/>
      <c r="B725" s="28"/>
      <c r="C725" s="28"/>
      <c r="D725" s="28"/>
      <c r="E725" s="28"/>
      <c r="F725" s="28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 ht="15.75" customHeight="1">
      <c r="A726" s="28"/>
      <c r="B726" s="28"/>
      <c r="C726" s="28"/>
      <c r="D726" s="28"/>
      <c r="E726" s="28"/>
      <c r="F726" s="28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 ht="15.75" customHeight="1">
      <c r="A727" s="28"/>
      <c r="B727" s="28"/>
      <c r="C727" s="28"/>
      <c r="D727" s="28"/>
      <c r="E727" s="28"/>
      <c r="F727" s="28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 ht="15.75" customHeight="1">
      <c r="A728" s="28"/>
      <c r="B728" s="28"/>
      <c r="C728" s="28"/>
      <c r="D728" s="28"/>
      <c r="E728" s="28"/>
      <c r="F728" s="28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 ht="15.75" customHeight="1">
      <c r="A729" s="28"/>
      <c r="B729" s="28"/>
      <c r="C729" s="28"/>
      <c r="D729" s="28"/>
      <c r="E729" s="28"/>
      <c r="F729" s="28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 ht="15.75" customHeight="1">
      <c r="A730" s="28"/>
      <c r="B730" s="28"/>
      <c r="C730" s="28"/>
      <c r="D730" s="28"/>
      <c r="E730" s="28"/>
      <c r="F730" s="28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 ht="15.75" customHeight="1">
      <c r="A731" s="28"/>
      <c r="B731" s="28"/>
      <c r="C731" s="28"/>
      <c r="D731" s="28"/>
      <c r="E731" s="28"/>
      <c r="F731" s="28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 ht="15.75" customHeight="1">
      <c r="A732" s="28"/>
      <c r="B732" s="28"/>
      <c r="C732" s="28"/>
      <c r="D732" s="28"/>
      <c r="E732" s="28"/>
      <c r="F732" s="28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 ht="15.75" customHeight="1">
      <c r="A733" s="28"/>
      <c r="B733" s="28"/>
      <c r="C733" s="28"/>
      <c r="D733" s="28"/>
      <c r="E733" s="28"/>
      <c r="F733" s="28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 ht="15.75" customHeight="1">
      <c r="A734" s="28"/>
      <c r="B734" s="28"/>
      <c r="C734" s="28"/>
      <c r="D734" s="28"/>
      <c r="E734" s="28"/>
      <c r="F734" s="28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 ht="15.75" customHeight="1">
      <c r="A735" s="28"/>
      <c r="B735" s="28"/>
      <c r="C735" s="28"/>
      <c r="D735" s="28"/>
      <c r="E735" s="28"/>
      <c r="F735" s="28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 ht="15.75" customHeight="1">
      <c r="A736" s="28"/>
      <c r="B736" s="28"/>
      <c r="C736" s="28"/>
      <c r="D736" s="28"/>
      <c r="E736" s="28"/>
      <c r="F736" s="28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 ht="15.75" customHeight="1">
      <c r="A737" s="28"/>
      <c r="B737" s="28"/>
      <c r="C737" s="28"/>
      <c r="D737" s="28"/>
      <c r="E737" s="28"/>
      <c r="F737" s="28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 ht="15.75" customHeight="1">
      <c r="A738" s="28"/>
      <c r="B738" s="28"/>
      <c r="C738" s="28"/>
      <c r="D738" s="28"/>
      <c r="E738" s="28"/>
      <c r="F738" s="28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 ht="15.75" customHeight="1">
      <c r="A739" s="28"/>
      <c r="B739" s="28"/>
      <c r="C739" s="28"/>
      <c r="D739" s="28"/>
      <c r="E739" s="28"/>
      <c r="F739" s="28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 ht="15.75" customHeight="1">
      <c r="A740" s="28"/>
      <c r="B740" s="28"/>
      <c r="C740" s="28"/>
      <c r="D740" s="28"/>
      <c r="E740" s="28"/>
      <c r="F740" s="28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 ht="15.75" customHeight="1">
      <c r="A741" s="28"/>
      <c r="B741" s="28"/>
      <c r="C741" s="28"/>
      <c r="D741" s="28"/>
      <c r="E741" s="28"/>
      <c r="F741" s="28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 ht="15.75" customHeight="1">
      <c r="A742" s="28"/>
      <c r="B742" s="28"/>
      <c r="C742" s="28"/>
      <c r="D742" s="28"/>
      <c r="E742" s="28"/>
      <c r="F742" s="28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 ht="15.75" customHeight="1">
      <c r="A743" s="28"/>
      <c r="B743" s="28"/>
      <c r="C743" s="28"/>
      <c r="D743" s="28"/>
      <c r="E743" s="28"/>
      <c r="F743" s="28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 ht="15.75" customHeight="1">
      <c r="A744" s="28"/>
      <c r="B744" s="28"/>
      <c r="C744" s="28"/>
      <c r="D744" s="28"/>
      <c r="E744" s="28"/>
      <c r="F744" s="28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 ht="15.75" customHeight="1">
      <c r="A745" s="28"/>
      <c r="B745" s="28"/>
      <c r="C745" s="28"/>
      <c r="D745" s="28"/>
      <c r="E745" s="28"/>
      <c r="F745" s="28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 ht="15.75" customHeight="1">
      <c r="A746" s="28"/>
      <c r="B746" s="28"/>
      <c r="C746" s="28"/>
      <c r="D746" s="28"/>
      <c r="E746" s="28"/>
      <c r="F746" s="28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 ht="15.75" customHeight="1">
      <c r="A747" s="28"/>
      <c r="B747" s="28"/>
      <c r="C747" s="28"/>
      <c r="D747" s="28"/>
      <c r="E747" s="28"/>
      <c r="F747" s="28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 ht="15.75" customHeight="1">
      <c r="A748" s="28"/>
      <c r="B748" s="28"/>
      <c r="C748" s="28"/>
      <c r="D748" s="28"/>
      <c r="E748" s="28"/>
      <c r="F748" s="28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 ht="15.75" customHeight="1">
      <c r="A749" s="28"/>
      <c r="B749" s="28"/>
      <c r="C749" s="28"/>
      <c r="D749" s="28"/>
      <c r="E749" s="28"/>
      <c r="F749" s="28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 ht="15.75" customHeight="1">
      <c r="A750" s="28"/>
      <c r="B750" s="28"/>
      <c r="C750" s="28"/>
      <c r="D750" s="28"/>
      <c r="E750" s="28"/>
      <c r="F750" s="28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 ht="15.75" customHeight="1">
      <c r="A751" s="28"/>
      <c r="B751" s="28"/>
      <c r="C751" s="28"/>
      <c r="D751" s="28"/>
      <c r="E751" s="28"/>
      <c r="F751" s="28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 ht="15.75" customHeight="1">
      <c r="A752" s="28"/>
      <c r="B752" s="28"/>
      <c r="C752" s="28"/>
      <c r="D752" s="28"/>
      <c r="E752" s="28"/>
      <c r="F752" s="28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 ht="15.75" customHeight="1">
      <c r="A753" s="28"/>
      <c r="B753" s="28"/>
      <c r="C753" s="28"/>
      <c r="D753" s="28"/>
      <c r="E753" s="28"/>
      <c r="F753" s="28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 ht="15.75" customHeight="1">
      <c r="A754" s="28"/>
      <c r="B754" s="28"/>
      <c r="C754" s="28"/>
      <c r="D754" s="28"/>
      <c r="E754" s="28"/>
      <c r="F754" s="28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 ht="15.75" customHeight="1">
      <c r="A755" s="28"/>
      <c r="B755" s="28"/>
      <c r="C755" s="28"/>
      <c r="D755" s="28"/>
      <c r="E755" s="28"/>
      <c r="F755" s="28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 ht="15.75" customHeight="1">
      <c r="A756" s="28"/>
      <c r="B756" s="28"/>
      <c r="C756" s="28"/>
      <c r="D756" s="28"/>
      <c r="E756" s="28"/>
      <c r="F756" s="28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 ht="15.75" customHeight="1">
      <c r="A757" s="28"/>
      <c r="B757" s="28"/>
      <c r="C757" s="28"/>
      <c r="D757" s="28"/>
      <c r="E757" s="28"/>
      <c r="F757" s="28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 ht="15.75" customHeight="1">
      <c r="A758" s="28"/>
      <c r="B758" s="28"/>
      <c r="C758" s="28"/>
      <c r="D758" s="28"/>
      <c r="E758" s="28"/>
      <c r="F758" s="28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 ht="15.75" customHeight="1">
      <c r="A759" s="28"/>
      <c r="B759" s="28"/>
      <c r="C759" s="28"/>
      <c r="D759" s="28"/>
      <c r="E759" s="28"/>
      <c r="F759" s="28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 ht="15.75" customHeight="1">
      <c r="A760" s="28"/>
      <c r="B760" s="28"/>
      <c r="C760" s="28"/>
      <c r="D760" s="28"/>
      <c r="E760" s="28"/>
      <c r="F760" s="28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 ht="15.75" customHeight="1">
      <c r="A761" s="28"/>
      <c r="B761" s="28"/>
      <c r="C761" s="28"/>
      <c r="D761" s="28"/>
      <c r="E761" s="28"/>
      <c r="F761" s="28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 ht="15.75" customHeight="1">
      <c r="A762" s="28"/>
      <c r="B762" s="28"/>
      <c r="C762" s="28"/>
      <c r="D762" s="28"/>
      <c r="E762" s="28"/>
      <c r="F762" s="28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 ht="15.75" customHeight="1">
      <c r="A763" s="28"/>
      <c r="B763" s="28"/>
      <c r="C763" s="28"/>
      <c r="D763" s="28"/>
      <c r="E763" s="28"/>
      <c r="F763" s="28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 ht="15.75" customHeight="1">
      <c r="A764" s="28"/>
      <c r="B764" s="28"/>
      <c r="C764" s="28"/>
      <c r="D764" s="28"/>
      <c r="E764" s="28"/>
      <c r="F764" s="28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 ht="15.75" customHeight="1">
      <c r="A765" s="28"/>
      <c r="B765" s="28"/>
      <c r="C765" s="28"/>
      <c r="D765" s="28"/>
      <c r="E765" s="28"/>
      <c r="F765" s="28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 ht="15.75" customHeight="1">
      <c r="A766" s="28"/>
      <c r="B766" s="28"/>
      <c r="C766" s="28"/>
      <c r="D766" s="28"/>
      <c r="E766" s="28"/>
      <c r="F766" s="28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 ht="15.75" customHeight="1">
      <c r="A767" s="28"/>
      <c r="B767" s="28"/>
      <c r="C767" s="28"/>
      <c r="D767" s="28"/>
      <c r="E767" s="28"/>
      <c r="F767" s="28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 ht="15.75" customHeight="1">
      <c r="A768" s="28"/>
      <c r="B768" s="28"/>
      <c r="C768" s="28"/>
      <c r="D768" s="28"/>
      <c r="E768" s="28"/>
      <c r="F768" s="28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 ht="15.75" customHeight="1">
      <c r="A769" s="28"/>
      <c r="B769" s="28"/>
      <c r="C769" s="28"/>
      <c r="D769" s="28"/>
      <c r="E769" s="28"/>
      <c r="F769" s="28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 ht="15.75" customHeight="1">
      <c r="A770" s="28"/>
      <c r="B770" s="28"/>
      <c r="C770" s="28"/>
      <c r="D770" s="28"/>
      <c r="E770" s="28"/>
      <c r="F770" s="28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 ht="15.75" customHeight="1">
      <c r="A771" s="28"/>
      <c r="B771" s="28"/>
      <c r="C771" s="28"/>
      <c r="D771" s="28"/>
      <c r="E771" s="28"/>
      <c r="F771" s="28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 ht="15.75" customHeight="1">
      <c r="A772" s="28"/>
      <c r="B772" s="28"/>
      <c r="C772" s="28"/>
      <c r="D772" s="28"/>
      <c r="E772" s="28"/>
      <c r="F772" s="28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 ht="15.75" customHeight="1">
      <c r="A773" s="28"/>
      <c r="B773" s="28"/>
      <c r="C773" s="28"/>
      <c r="D773" s="28"/>
      <c r="E773" s="28"/>
      <c r="F773" s="28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 ht="15.75" customHeight="1">
      <c r="A774" s="28"/>
      <c r="B774" s="28"/>
      <c r="C774" s="28"/>
      <c r="D774" s="28"/>
      <c r="E774" s="28"/>
      <c r="F774" s="28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 ht="15.75" customHeight="1">
      <c r="A775" s="28"/>
      <c r="B775" s="28"/>
      <c r="C775" s="28"/>
      <c r="D775" s="28"/>
      <c r="E775" s="28"/>
      <c r="F775" s="28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 ht="15.75" customHeight="1">
      <c r="A776" s="28"/>
      <c r="B776" s="28"/>
      <c r="C776" s="28"/>
      <c r="D776" s="28"/>
      <c r="E776" s="28"/>
      <c r="F776" s="28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 ht="15.75" customHeight="1">
      <c r="A777" s="28"/>
      <c r="B777" s="28"/>
      <c r="C777" s="28"/>
      <c r="D777" s="28"/>
      <c r="E777" s="28"/>
      <c r="F777" s="28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 ht="15.75" customHeight="1">
      <c r="A778" s="28"/>
      <c r="B778" s="28"/>
      <c r="C778" s="28"/>
      <c r="D778" s="28"/>
      <c r="E778" s="28"/>
      <c r="F778" s="28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 ht="15.75" customHeight="1">
      <c r="A779" s="28"/>
      <c r="B779" s="28"/>
      <c r="C779" s="28"/>
      <c r="D779" s="28"/>
      <c r="E779" s="28"/>
      <c r="F779" s="28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 ht="15.75" customHeight="1">
      <c r="A780" s="28"/>
      <c r="B780" s="28"/>
      <c r="C780" s="28"/>
      <c r="D780" s="28"/>
      <c r="E780" s="28"/>
      <c r="F780" s="28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 ht="15.75" customHeight="1">
      <c r="A781" s="28"/>
      <c r="B781" s="28"/>
      <c r="C781" s="28"/>
      <c r="D781" s="28"/>
      <c r="E781" s="28"/>
      <c r="F781" s="28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 ht="15.75" customHeight="1">
      <c r="A782" s="28"/>
      <c r="B782" s="28"/>
      <c r="C782" s="28"/>
      <c r="D782" s="28"/>
      <c r="E782" s="28"/>
      <c r="F782" s="28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 ht="15.75" customHeight="1">
      <c r="A783" s="28"/>
      <c r="B783" s="28"/>
      <c r="C783" s="28"/>
      <c r="D783" s="28"/>
      <c r="E783" s="28"/>
      <c r="F783" s="28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 ht="15.75" customHeight="1">
      <c r="A784" s="28"/>
      <c r="B784" s="28"/>
      <c r="C784" s="28"/>
      <c r="D784" s="28"/>
      <c r="E784" s="28"/>
      <c r="F784" s="28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 ht="15.75" customHeight="1">
      <c r="A785" s="28"/>
      <c r="B785" s="28"/>
      <c r="C785" s="28"/>
      <c r="D785" s="28"/>
      <c r="E785" s="28"/>
      <c r="F785" s="28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 ht="15.75" customHeight="1">
      <c r="A786" s="28"/>
      <c r="B786" s="28"/>
      <c r="C786" s="28"/>
      <c r="D786" s="28"/>
      <c r="E786" s="28"/>
      <c r="F786" s="28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 ht="15.75" customHeight="1">
      <c r="A787" s="28"/>
      <c r="B787" s="28"/>
      <c r="C787" s="28"/>
      <c r="D787" s="28"/>
      <c r="E787" s="28"/>
      <c r="F787" s="28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 ht="15.75" customHeight="1">
      <c r="A788" s="28"/>
      <c r="B788" s="28"/>
      <c r="C788" s="28"/>
      <c r="D788" s="28"/>
      <c r="E788" s="28"/>
      <c r="F788" s="28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 ht="15.75" customHeight="1">
      <c r="A789" s="28"/>
      <c r="B789" s="28"/>
      <c r="C789" s="28"/>
      <c r="D789" s="28"/>
      <c r="E789" s="28"/>
      <c r="F789" s="28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 ht="15.75" customHeight="1">
      <c r="A790" s="28"/>
      <c r="B790" s="28"/>
      <c r="C790" s="28"/>
      <c r="D790" s="28"/>
      <c r="E790" s="28"/>
      <c r="F790" s="28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 ht="15.75" customHeight="1">
      <c r="A791" s="28"/>
      <c r="B791" s="28"/>
      <c r="C791" s="28"/>
      <c r="D791" s="28"/>
      <c r="E791" s="28"/>
      <c r="F791" s="28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 ht="15.75" customHeight="1">
      <c r="A792" s="28"/>
      <c r="B792" s="28"/>
      <c r="C792" s="28"/>
      <c r="D792" s="28"/>
      <c r="E792" s="28"/>
      <c r="F792" s="28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 ht="15.75" customHeight="1">
      <c r="A793" s="28"/>
      <c r="B793" s="28"/>
      <c r="C793" s="28"/>
      <c r="D793" s="28"/>
      <c r="E793" s="28"/>
      <c r="F793" s="28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 ht="15.75" customHeight="1">
      <c r="A794" s="28"/>
      <c r="B794" s="28"/>
      <c r="C794" s="28"/>
      <c r="D794" s="28"/>
      <c r="E794" s="28"/>
      <c r="F794" s="28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 ht="15.75" customHeight="1">
      <c r="A795" s="28"/>
      <c r="B795" s="28"/>
      <c r="C795" s="28"/>
      <c r="D795" s="28"/>
      <c r="E795" s="28"/>
      <c r="F795" s="28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 ht="15.75" customHeight="1">
      <c r="A796" s="28"/>
      <c r="B796" s="28"/>
      <c r="C796" s="28"/>
      <c r="D796" s="28"/>
      <c r="E796" s="28"/>
      <c r="F796" s="28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 ht="15.75" customHeight="1">
      <c r="A797" s="28"/>
      <c r="B797" s="28"/>
      <c r="C797" s="28"/>
      <c r="D797" s="28"/>
      <c r="E797" s="28"/>
      <c r="F797" s="28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 ht="15.75" customHeight="1">
      <c r="A798" s="28"/>
      <c r="B798" s="28"/>
      <c r="C798" s="28"/>
      <c r="D798" s="28"/>
      <c r="E798" s="28"/>
      <c r="F798" s="28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 ht="15.75" customHeight="1">
      <c r="A799" s="28"/>
      <c r="B799" s="28"/>
      <c r="C799" s="28"/>
      <c r="D799" s="28"/>
      <c r="E799" s="28"/>
      <c r="F799" s="28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 ht="15.75" customHeight="1">
      <c r="A800" s="28"/>
      <c r="B800" s="28"/>
      <c r="C800" s="28"/>
      <c r="D800" s="28"/>
      <c r="E800" s="28"/>
      <c r="F800" s="28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 ht="15.75" customHeight="1">
      <c r="A801" s="28"/>
      <c r="B801" s="28"/>
      <c r="C801" s="28"/>
      <c r="D801" s="28"/>
      <c r="E801" s="28"/>
      <c r="F801" s="28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 ht="15.75" customHeight="1">
      <c r="A802" s="28"/>
      <c r="B802" s="28"/>
      <c r="C802" s="28"/>
      <c r="D802" s="28"/>
      <c r="E802" s="28"/>
      <c r="F802" s="28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 ht="15.75" customHeight="1">
      <c r="A803" s="28"/>
      <c r="B803" s="28"/>
      <c r="C803" s="28"/>
      <c r="D803" s="28"/>
      <c r="E803" s="28"/>
      <c r="F803" s="28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 ht="15.75" customHeight="1">
      <c r="A804" s="28"/>
      <c r="B804" s="28"/>
      <c r="C804" s="28"/>
      <c r="D804" s="28"/>
      <c r="E804" s="28"/>
      <c r="F804" s="28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 ht="15.75" customHeight="1">
      <c r="A805" s="28"/>
      <c r="B805" s="28"/>
      <c r="C805" s="28"/>
      <c r="D805" s="28"/>
      <c r="E805" s="28"/>
      <c r="F805" s="28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 ht="15.75" customHeight="1">
      <c r="A806" s="28"/>
      <c r="B806" s="28"/>
      <c r="C806" s="28"/>
      <c r="D806" s="28"/>
      <c r="E806" s="28"/>
      <c r="F806" s="28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 ht="15.75" customHeight="1">
      <c r="A807" s="28"/>
      <c r="B807" s="28"/>
      <c r="C807" s="28"/>
      <c r="D807" s="28"/>
      <c r="E807" s="28"/>
      <c r="F807" s="28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 ht="15.75" customHeight="1">
      <c r="A808" s="28"/>
      <c r="B808" s="28"/>
      <c r="C808" s="28"/>
      <c r="D808" s="28"/>
      <c r="E808" s="28"/>
      <c r="F808" s="28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 ht="15.75" customHeight="1">
      <c r="A809" s="28"/>
      <c r="B809" s="28"/>
      <c r="C809" s="28"/>
      <c r="D809" s="28"/>
      <c r="E809" s="28"/>
      <c r="F809" s="28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 ht="15.75" customHeight="1">
      <c r="A810" s="28"/>
      <c r="B810" s="28"/>
      <c r="C810" s="28"/>
      <c r="D810" s="28"/>
      <c r="E810" s="28"/>
      <c r="F810" s="28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 ht="15.75" customHeight="1">
      <c r="A811" s="28"/>
      <c r="B811" s="28"/>
      <c r="C811" s="28"/>
      <c r="D811" s="28"/>
      <c r="E811" s="28"/>
      <c r="F811" s="28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 ht="15.75" customHeight="1">
      <c r="A812" s="28"/>
      <c r="B812" s="28"/>
      <c r="C812" s="28"/>
      <c r="D812" s="28"/>
      <c r="E812" s="28"/>
      <c r="F812" s="28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 ht="15.75" customHeight="1">
      <c r="A813" s="28"/>
      <c r="B813" s="28"/>
      <c r="C813" s="28"/>
      <c r="D813" s="28"/>
      <c r="E813" s="28"/>
      <c r="F813" s="28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 ht="15.75" customHeight="1">
      <c r="A814" s="28"/>
      <c r="B814" s="28"/>
      <c r="C814" s="28"/>
      <c r="D814" s="28"/>
      <c r="E814" s="28"/>
      <c r="F814" s="28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 ht="15.75" customHeight="1">
      <c r="A815" s="28"/>
      <c r="B815" s="28"/>
      <c r="C815" s="28"/>
      <c r="D815" s="28"/>
      <c r="E815" s="28"/>
      <c r="F815" s="28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 ht="15.75" customHeight="1">
      <c r="A816" s="28"/>
      <c r="B816" s="28"/>
      <c r="C816" s="28"/>
      <c r="D816" s="28"/>
      <c r="E816" s="28"/>
      <c r="F816" s="28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 ht="15.75" customHeight="1">
      <c r="A817" s="28"/>
      <c r="B817" s="28"/>
      <c r="C817" s="28"/>
      <c r="D817" s="28"/>
      <c r="E817" s="28"/>
      <c r="F817" s="28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 ht="15.75" customHeight="1">
      <c r="A818" s="28"/>
      <c r="B818" s="28"/>
      <c r="C818" s="28"/>
      <c r="D818" s="28"/>
      <c r="E818" s="28"/>
      <c r="F818" s="28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 ht="15.75" customHeight="1">
      <c r="A819" s="28"/>
      <c r="B819" s="28"/>
      <c r="C819" s="28"/>
      <c r="D819" s="28"/>
      <c r="E819" s="28"/>
      <c r="F819" s="28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 ht="15.75" customHeight="1">
      <c r="A820" s="28"/>
      <c r="B820" s="28"/>
      <c r="C820" s="28"/>
      <c r="D820" s="28"/>
      <c r="E820" s="28"/>
      <c r="F820" s="28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 ht="15.75" customHeight="1">
      <c r="A821" s="28"/>
      <c r="B821" s="28"/>
      <c r="C821" s="28"/>
      <c r="D821" s="28"/>
      <c r="E821" s="28"/>
      <c r="F821" s="28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 ht="15.75" customHeight="1">
      <c r="A822" s="28"/>
      <c r="B822" s="28"/>
      <c r="C822" s="28"/>
      <c r="D822" s="28"/>
      <c r="E822" s="28"/>
      <c r="F822" s="28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 ht="15.75" customHeight="1">
      <c r="A823" s="28"/>
      <c r="B823" s="28"/>
      <c r="C823" s="28"/>
      <c r="D823" s="28"/>
      <c r="E823" s="28"/>
      <c r="F823" s="28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 ht="15.75" customHeight="1">
      <c r="A824" s="28"/>
      <c r="B824" s="28"/>
      <c r="C824" s="28"/>
      <c r="D824" s="28"/>
      <c r="E824" s="28"/>
      <c r="F824" s="28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 ht="15.75" customHeight="1">
      <c r="A825" s="28"/>
      <c r="B825" s="28"/>
      <c r="C825" s="28"/>
      <c r="D825" s="28"/>
      <c r="E825" s="28"/>
      <c r="F825" s="28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 ht="15.75" customHeight="1">
      <c r="A826" s="28"/>
      <c r="B826" s="28"/>
      <c r="C826" s="28"/>
      <c r="D826" s="28"/>
      <c r="E826" s="28"/>
      <c r="F826" s="28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 ht="15.75" customHeight="1">
      <c r="A827" s="28"/>
      <c r="B827" s="28"/>
      <c r="C827" s="28"/>
      <c r="D827" s="28"/>
      <c r="E827" s="28"/>
      <c r="F827" s="28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 ht="15.75" customHeight="1">
      <c r="A828" s="28"/>
      <c r="B828" s="28"/>
      <c r="C828" s="28"/>
      <c r="D828" s="28"/>
      <c r="E828" s="28"/>
      <c r="F828" s="28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 ht="15.75" customHeight="1">
      <c r="A829" s="28"/>
      <c r="B829" s="28"/>
      <c r="C829" s="28"/>
      <c r="D829" s="28"/>
      <c r="E829" s="28"/>
      <c r="F829" s="28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 ht="15.75" customHeight="1">
      <c r="A830" s="28"/>
      <c r="B830" s="28"/>
      <c r="C830" s="28"/>
      <c r="D830" s="28"/>
      <c r="E830" s="28"/>
      <c r="F830" s="28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 ht="15.75" customHeight="1">
      <c r="A831" s="28"/>
      <c r="B831" s="28"/>
      <c r="C831" s="28"/>
      <c r="D831" s="28"/>
      <c r="E831" s="28"/>
      <c r="F831" s="28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 ht="15.75" customHeight="1">
      <c r="A832" s="28"/>
      <c r="B832" s="28"/>
      <c r="C832" s="28"/>
      <c r="D832" s="28"/>
      <c r="E832" s="28"/>
      <c r="F832" s="28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 ht="15.75" customHeight="1">
      <c r="A833" s="28"/>
      <c r="B833" s="28"/>
      <c r="C833" s="28"/>
      <c r="D833" s="28"/>
      <c r="E833" s="28"/>
      <c r="F833" s="28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 ht="15.75" customHeight="1">
      <c r="A834" s="28"/>
      <c r="B834" s="28"/>
      <c r="C834" s="28"/>
      <c r="D834" s="28"/>
      <c r="E834" s="28"/>
      <c r="F834" s="28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 ht="15.75" customHeight="1">
      <c r="A835" s="28"/>
      <c r="B835" s="28"/>
      <c r="C835" s="28"/>
      <c r="D835" s="28"/>
      <c r="E835" s="28"/>
      <c r="F835" s="28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 ht="15.75" customHeight="1">
      <c r="A836" s="28"/>
      <c r="B836" s="28"/>
      <c r="C836" s="28"/>
      <c r="D836" s="28"/>
      <c r="E836" s="28"/>
      <c r="F836" s="28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 ht="15.75" customHeight="1">
      <c r="A837" s="28"/>
      <c r="B837" s="28"/>
      <c r="C837" s="28"/>
      <c r="D837" s="28"/>
      <c r="E837" s="28"/>
      <c r="F837" s="28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 ht="15.75" customHeight="1">
      <c r="A838" s="28"/>
      <c r="B838" s="28"/>
      <c r="C838" s="28"/>
      <c r="D838" s="28"/>
      <c r="E838" s="28"/>
      <c r="F838" s="28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 ht="15.75" customHeight="1">
      <c r="A839" s="28"/>
      <c r="B839" s="28"/>
      <c r="C839" s="28"/>
      <c r="D839" s="28"/>
      <c r="E839" s="28"/>
      <c r="F839" s="28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 ht="15.75" customHeight="1">
      <c r="A840" s="28"/>
      <c r="B840" s="28"/>
      <c r="C840" s="28"/>
      <c r="D840" s="28"/>
      <c r="E840" s="28"/>
      <c r="F840" s="28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 ht="15.75" customHeight="1">
      <c r="A841" s="28"/>
      <c r="B841" s="28"/>
      <c r="C841" s="28"/>
      <c r="D841" s="28"/>
      <c r="E841" s="28"/>
      <c r="F841" s="28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 ht="15.75" customHeight="1">
      <c r="A842" s="28"/>
      <c r="B842" s="28"/>
      <c r="C842" s="28"/>
      <c r="D842" s="28"/>
      <c r="E842" s="28"/>
      <c r="F842" s="28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 ht="15.75" customHeight="1">
      <c r="A843" s="28"/>
      <c r="B843" s="28"/>
      <c r="C843" s="28"/>
      <c r="D843" s="28"/>
      <c r="E843" s="28"/>
      <c r="F843" s="28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 ht="15.75" customHeight="1">
      <c r="A844" s="28"/>
      <c r="B844" s="28"/>
      <c r="C844" s="28"/>
      <c r="D844" s="28"/>
      <c r="E844" s="28"/>
      <c r="F844" s="28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 ht="15.75" customHeight="1">
      <c r="A845" s="28"/>
      <c r="B845" s="28"/>
      <c r="C845" s="28"/>
      <c r="D845" s="28"/>
      <c r="E845" s="28"/>
      <c r="F845" s="28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 ht="15.75" customHeight="1">
      <c r="A846" s="28"/>
      <c r="B846" s="28"/>
      <c r="C846" s="28"/>
      <c r="D846" s="28"/>
      <c r="E846" s="28"/>
      <c r="F846" s="28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 ht="15.75" customHeight="1">
      <c r="A847" s="28"/>
      <c r="B847" s="28"/>
      <c r="C847" s="28"/>
      <c r="D847" s="28"/>
      <c r="E847" s="28"/>
      <c r="F847" s="28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 ht="15.75" customHeight="1">
      <c r="A848" s="28"/>
      <c r="B848" s="28"/>
      <c r="C848" s="28"/>
      <c r="D848" s="28"/>
      <c r="E848" s="28"/>
      <c r="F848" s="28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 ht="15.75" customHeight="1">
      <c r="A849" s="28"/>
      <c r="B849" s="28"/>
      <c r="C849" s="28"/>
      <c r="D849" s="28"/>
      <c r="E849" s="28"/>
      <c r="F849" s="28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 ht="15.75" customHeight="1">
      <c r="A850" s="28"/>
      <c r="B850" s="28"/>
      <c r="C850" s="28"/>
      <c r="D850" s="28"/>
      <c r="E850" s="28"/>
      <c r="F850" s="28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 ht="15.75" customHeight="1">
      <c r="A851" s="28"/>
      <c r="B851" s="28"/>
      <c r="C851" s="28"/>
      <c r="D851" s="28"/>
      <c r="E851" s="28"/>
      <c r="F851" s="28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 ht="15.75" customHeight="1">
      <c r="A852" s="28"/>
      <c r="B852" s="28"/>
      <c r="C852" s="28"/>
      <c r="D852" s="28"/>
      <c r="E852" s="28"/>
      <c r="F852" s="28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 ht="15.75" customHeight="1">
      <c r="A853" s="28"/>
      <c r="B853" s="28"/>
      <c r="C853" s="28"/>
      <c r="D853" s="28"/>
      <c r="E853" s="28"/>
      <c r="F853" s="28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 ht="15.75" customHeight="1">
      <c r="A854" s="28"/>
      <c r="B854" s="28"/>
      <c r="C854" s="28"/>
      <c r="D854" s="28"/>
      <c r="E854" s="28"/>
      <c r="F854" s="28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 ht="15.75" customHeight="1">
      <c r="A855" s="28"/>
      <c r="B855" s="28"/>
      <c r="C855" s="28"/>
      <c r="D855" s="28"/>
      <c r="E855" s="28"/>
      <c r="F855" s="28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 ht="15.75" customHeight="1">
      <c r="A856" s="28"/>
      <c r="B856" s="28"/>
      <c r="C856" s="28"/>
      <c r="D856" s="28"/>
      <c r="E856" s="28"/>
      <c r="F856" s="28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 ht="15.75" customHeight="1">
      <c r="A857" s="28"/>
      <c r="B857" s="28"/>
      <c r="C857" s="28"/>
      <c r="D857" s="28"/>
      <c r="E857" s="28"/>
      <c r="F857" s="28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 ht="15.75" customHeight="1">
      <c r="A858" s="28"/>
      <c r="B858" s="28"/>
      <c r="C858" s="28"/>
      <c r="D858" s="28"/>
      <c r="E858" s="28"/>
      <c r="F858" s="28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 ht="15.75" customHeight="1">
      <c r="A859" s="28"/>
      <c r="B859" s="28"/>
      <c r="C859" s="28"/>
      <c r="D859" s="28"/>
      <c r="E859" s="28"/>
      <c r="F859" s="28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 ht="15.75" customHeight="1">
      <c r="A860" s="28"/>
      <c r="B860" s="28"/>
      <c r="C860" s="28"/>
      <c r="D860" s="28"/>
      <c r="E860" s="28"/>
      <c r="F860" s="28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 ht="15.75" customHeight="1">
      <c r="A861" s="28"/>
      <c r="B861" s="28"/>
      <c r="C861" s="28"/>
      <c r="D861" s="28"/>
      <c r="E861" s="28"/>
      <c r="F861" s="28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 ht="15.75" customHeight="1">
      <c r="A862" s="28"/>
      <c r="B862" s="28"/>
      <c r="C862" s="28"/>
      <c r="D862" s="28"/>
      <c r="E862" s="28"/>
      <c r="F862" s="28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 ht="15.75" customHeight="1">
      <c r="A863" s="28"/>
      <c r="B863" s="28"/>
      <c r="C863" s="28"/>
      <c r="D863" s="28"/>
      <c r="E863" s="28"/>
      <c r="F863" s="28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 ht="15.75" customHeight="1">
      <c r="A864" s="28"/>
      <c r="B864" s="28"/>
      <c r="C864" s="28"/>
      <c r="D864" s="28"/>
      <c r="E864" s="28"/>
      <c r="F864" s="28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 ht="15.75" customHeight="1">
      <c r="A865" s="28"/>
      <c r="B865" s="28"/>
      <c r="C865" s="28"/>
      <c r="D865" s="28"/>
      <c r="E865" s="28"/>
      <c r="F865" s="28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 ht="15.75" customHeight="1">
      <c r="A866" s="28"/>
      <c r="B866" s="28"/>
      <c r="C866" s="28"/>
      <c r="D866" s="28"/>
      <c r="E866" s="28"/>
      <c r="F866" s="28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 ht="15.75" customHeight="1">
      <c r="A867" s="28"/>
      <c r="B867" s="28"/>
      <c r="C867" s="28"/>
      <c r="D867" s="28"/>
      <c r="E867" s="28"/>
      <c r="F867" s="28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 ht="15.75" customHeight="1">
      <c r="A868" s="28"/>
      <c r="B868" s="28"/>
      <c r="C868" s="28"/>
      <c r="D868" s="28"/>
      <c r="E868" s="28"/>
      <c r="F868" s="28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 ht="15.75" customHeight="1">
      <c r="A869" s="28"/>
      <c r="B869" s="28"/>
      <c r="C869" s="28"/>
      <c r="D869" s="28"/>
      <c r="E869" s="28"/>
      <c r="F869" s="28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 ht="15.75" customHeight="1">
      <c r="A870" s="28"/>
      <c r="B870" s="28"/>
      <c r="C870" s="28"/>
      <c r="D870" s="28"/>
      <c r="E870" s="28"/>
      <c r="F870" s="28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 ht="15.75" customHeight="1">
      <c r="A871" s="28"/>
      <c r="B871" s="28"/>
      <c r="C871" s="28"/>
      <c r="D871" s="28"/>
      <c r="E871" s="28"/>
      <c r="F871" s="28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 ht="15.75" customHeight="1">
      <c r="A872" s="28"/>
      <c r="B872" s="28"/>
      <c r="C872" s="28"/>
      <c r="D872" s="28"/>
      <c r="E872" s="28"/>
      <c r="F872" s="28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 ht="15.75" customHeight="1">
      <c r="A873" s="28"/>
      <c r="B873" s="28"/>
      <c r="C873" s="28"/>
      <c r="D873" s="28"/>
      <c r="E873" s="28"/>
      <c r="F873" s="28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 ht="15.75" customHeight="1">
      <c r="A874" s="28"/>
      <c r="B874" s="28"/>
      <c r="C874" s="28"/>
      <c r="D874" s="28"/>
      <c r="E874" s="28"/>
      <c r="F874" s="28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 ht="15.75" customHeight="1">
      <c r="A875" s="28"/>
      <c r="B875" s="28"/>
      <c r="C875" s="28"/>
      <c r="D875" s="28"/>
      <c r="E875" s="28"/>
      <c r="F875" s="28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 ht="15.75" customHeight="1">
      <c r="A876" s="28"/>
      <c r="B876" s="28"/>
      <c r="C876" s="28"/>
      <c r="D876" s="28"/>
      <c r="E876" s="28"/>
      <c r="F876" s="28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 ht="15.75" customHeight="1">
      <c r="A877" s="28"/>
      <c r="B877" s="28"/>
      <c r="C877" s="28"/>
      <c r="D877" s="28"/>
      <c r="E877" s="28"/>
      <c r="F877" s="28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 ht="15.75" customHeight="1">
      <c r="A878" s="28"/>
      <c r="B878" s="28"/>
      <c r="C878" s="28"/>
      <c r="D878" s="28"/>
      <c r="E878" s="28"/>
      <c r="F878" s="28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 ht="15.75" customHeight="1">
      <c r="A879" s="28"/>
      <c r="B879" s="28"/>
      <c r="C879" s="28"/>
      <c r="D879" s="28"/>
      <c r="E879" s="28"/>
      <c r="F879" s="28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 ht="15.75" customHeight="1">
      <c r="A880" s="28"/>
      <c r="B880" s="28"/>
      <c r="C880" s="28"/>
      <c r="D880" s="28"/>
      <c r="E880" s="28"/>
      <c r="F880" s="28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 ht="15.75" customHeight="1">
      <c r="A881" s="28"/>
      <c r="B881" s="28"/>
      <c r="C881" s="28"/>
      <c r="D881" s="28"/>
      <c r="E881" s="28"/>
      <c r="F881" s="28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 ht="15.75" customHeight="1">
      <c r="A882" s="28"/>
      <c r="B882" s="28"/>
      <c r="C882" s="28"/>
      <c r="D882" s="28"/>
      <c r="E882" s="28"/>
      <c r="F882" s="28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 ht="15.75" customHeight="1">
      <c r="A883" s="28"/>
      <c r="B883" s="28"/>
      <c r="C883" s="28"/>
      <c r="D883" s="28"/>
      <c r="E883" s="28"/>
      <c r="F883" s="28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 ht="15.75" customHeight="1">
      <c r="A884" s="28"/>
      <c r="B884" s="28"/>
      <c r="C884" s="28"/>
      <c r="D884" s="28"/>
      <c r="E884" s="28"/>
      <c r="F884" s="28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 ht="15.75" customHeight="1">
      <c r="A885" s="28"/>
      <c r="B885" s="28"/>
      <c r="C885" s="28"/>
      <c r="D885" s="28"/>
      <c r="E885" s="28"/>
      <c r="F885" s="28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 ht="15.75" customHeight="1">
      <c r="A886" s="28"/>
      <c r="B886" s="28"/>
      <c r="C886" s="28"/>
      <c r="D886" s="28"/>
      <c r="E886" s="28"/>
      <c r="F886" s="28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 ht="15.75" customHeight="1">
      <c r="A887" s="28"/>
      <c r="B887" s="28"/>
      <c r="C887" s="28"/>
      <c r="D887" s="28"/>
      <c r="E887" s="28"/>
      <c r="F887" s="28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 ht="15.75" customHeight="1">
      <c r="A888" s="28"/>
      <c r="B888" s="28"/>
      <c r="C888" s="28"/>
      <c r="D888" s="28"/>
      <c r="E888" s="28"/>
      <c r="F888" s="28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 ht="15.75" customHeight="1">
      <c r="A889" s="28"/>
      <c r="B889" s="28"/>
      <c r="C889" s="28"/>
      <c r="D889" s="28"/>
      <c r="E889" s="28"/>
      <c r="F889" s="28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 ht="15.75" customHeight="1">
      <c r="A890" s="28"/>
      <c r="B890" s="28"/>
      <c r="C890" s="28"/>
      <c r="D890" s="28"/>
      <c r="E890" s="28"/>
      <c r="F890" s="28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 ht="15.75" customHeight="1">
      <c r="A891" s="28"/>
      <c r="B891" s="28"/>
      <c r="C891" s="28"/>
      <c r="D891" s="28"/>
      <c r="E891" s="28"/>
      <c r="F891" s="28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 ht="15.75" customHeight="1">
      <c r="A892" s="28"/>
      <c r="B892" s="28"/>
      <c r="C892" s="28"/>
      <c r="D892" s="28"/>
      <c r="E892" s="28"/>
      <c r="F892" s="28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 ht="15.75" customHeight="1">
      <c r="A893" s="28"/>
      <c r="B893" s="28"/>
      <c r="C893" s="28"/>
      <c r="D893" s="28"/>
      <c r="E893" s="28"/>
      <c r="F893" s="28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 ht="15.75" customHeight="1">
      <c r="A894" s="28"/>
      <c r="B894" s="28"/>
      <c r="C894" s="28"/>
      <c r="D894" s="28"/>
      <c r="E894" s="28"/>
      <c r="F894" s="28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 ht="15.75" customHeight="1">
      <c r="A895" s="28"/>
      <c r="B895" s="28"/>
      <c r="C895" s="28"/>
      <c r="D895" s="28"/>
      <c r="E895" s="28"/>
      <c r="F895" s="28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 ht="15.75" customHeight="1">
      <c r="A896" s="28"/>
      <c r="B896" s="28"/>
      <c r="C896" s="28"/>
      <c r="D896" s="28"/>
      <c r="E896" s="28"/>
      <c r="F896" s="28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 ht="15.75" customHeight="1">
      <c r="A897" s="28"/>
      <c r="B897" s="28"/>
      <c r="C897" s="28"/>
      <c r="D897" s="28"/>
      <c r="E897" s="28"/>
      <c r="F897" s="28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 ht="15.75" customHeight="1">
      <c r="A898" s="28"/>
      <c r="B898" s="28"/>
      <c r="C898" s="28"/>
      <c r="D898" s="28"/>
      <c r="E898" s="28"/>
      <c r="F898" s="28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 ht="15.75" customHeight="1">
      <c r="A899" s="28"/>
      <c r="B899" s="28"/>
      <c r="C899" s="28"/>
      <c r="D899" s="28"/>
      <c r="E899" s="28"/>
      <c r="F899" s="28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 ht="15.75" customHeight="1">
      <c r="A900" s="28"/>
      <c r="B900" s="28"/>
      <c r="C900" s="28"/>
      <c r="D900" s="28"/>
      <c r="E900" s="28"/>
      <c r="F900" s="28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 ht="15.75" customHeight="1">
      <c r="A901" s="28"/>
      <c r="B901" s="28"/>
      <c r="C901" s="28"/>
      <c r="D901" s="28"/>
      <c r="E901" s="28"/>
      <c r="F901" s="28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 ht="15.75" customHeight="1">
      <c r="A902" s="28"/>
      <c r="B902" s="28"/>
      <c r="C902" s="28"/>
      <c r="D902" s="28"/>
      <c r="E902" s="28"/>
      <c r="F902" s="28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 ht="15.75" customHeight="1">
      <c r="A903" s="28"/>
      <c r="B903" s="28"/>
      <c r="C903" s="28"/>
      <c r="D903" s="28"/>
      <c r="E903" s="28"/>
      <c r="F903" s="28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 ht="15.75" customHeight="1">
      <c r="A904" s="28"/>
      <c r="B904" s="28"/>
      <c r="C904" s="28"/>
      <c r="D904" s="28"/>
      <c r="E904" s="28"/>
      <c r="F904" s="28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 ht="15.75" customHeight="1">
      <c r="A905" s="28"/>
      <c r="B905" s="28"/>
      <c r="C905" s="28"/>
      <c r="D905" s="28"/>
      <c r="E905" s="28"/>
      <c r="F905" s="28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 ht="15.75" customHeight="1">
      <c r="A906" s="28"/>
      <c r="B906" s="28"/>
      <c r="C906" s="28"/>
      <c r="D906" s="28"/>
      <c r="E906" s="28"/>
      <c r="F906" s="28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 ht="15.75" customHeight="1">
      <c r="A907" s="28"/>
      <c r="B907" s="28"/>
      <c r="C907" s="28"/>
      <c r="D907" s="28"/>
      <c r="E907" s="28"/>
      <c r="F907" s="28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 ht="15.75" customHeight="1">
      <c r="A908" s="28"/>
      <c r="B908" s="28"/>
      <c r="C908" s="28"/>
      <c r="D908" s="28"/>
      <c r="E908" s="28"/>
      <c r="F908" s="28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 ht="15.75" customHeight="1">
      <c r="A909" s="28"/>
      <c r="B909" s="28"/>
      <c r="C909" s="28"/>
      <c r="D909" s="28"/>
      <c r="E909" s="28"/>
      <c r="F909" s="28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 ht="15.75" customHeight="1">
      <c r="A910" s="28"/>
      <c r="B910" s="28"/>
      <c r="C910" s="28"/>
      <c r="D910" s="28"/>
      <c r="E910" s="28"/>
      <c r="F910" s="28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 ht="15.75" customHeight="1">
      <c r="A911" s="28"/>
      <c r="B911" s="28"/>
      <c r="C911" s="28"/>
      <c r="D911" s="28"/>
      <c r="E911" s="28"/>
      <c r="F911" s="28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 ht="15.75" customHeight="1">
      <c r="A912" s="28"/>
      <c r="B912" s="28"/>
      <c r="C912" s="28"/>
      <c r="D912" s="28"/>
      <c r="E912" s="28"/>
      <c r="F912" s="28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 ht="15.75" customHeight="1">
      <c r="A913" s="28"/>
      <c r="B913" s="28"/>
      <c r="C913" s="28"/>
      <c r="D913" s="28"/>
      <c r="E913" s="28"/>
      <c r="F913" s="28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 ht="15.75" customHeight="1">
      <c r="A914" s="28"/>
      <c r="B914" s="28"/>
      <c r="C914" s="28"/>
      <c r="D914" s="28"/>
      <c r="E914" s="28"/>
      <c r="F914" s="28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 ht="15.75" customHeight="1">
      <c r="A915" s="28"/>
      <c r="B915" s="28"/>
      <c r="C915" s="28"/>
      <c r="D915" s="28"/>
      <c r="E915" s="28"/>
      <c r="F915" s="28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 ht="15.75" customHeight="1">
      <c r="A916" s="28"/>
      <c r="B916" s="28"/>
      <c r="C916" s="28"/>
      <c r="D916" s="28"/>
      <c r="E916" s="28"/>
      <c r="F916" s="28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 ht="15.75" customHeight="1">
      <c r="A917" s="28"/>
      <c r="B917" s="28"/>
      <c r="C917" s="28"/>
      <c r="D917" s="28"/>
      <c r="E917" s="28"/>
      <c r="F917" s="28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 ht="15.75" customHeight="1">
      <c r="A918" s="28"/>
      <c r="B918" s="28"/>
      <c r="C918" s="28"/>
      <c r="D918" s="28"/>
      <c r="E918" s="28"/>
      <c r="F918" s="28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 ht="15.75" customHeight="1">
      <c r="A919" s="28"/>
      <c r="B919" s="28"/>
      <c r="C919" s="28"/>
      <c r="D919" s="28"/>
      <c r="E919" s="28"/>
      <c r="F919" s="28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 ht="15.75" customHeight="1">
      <c r="A920" s="28"/>
      <c r="B920" s="28"/>
      <c r="C920" s="28"/>
      <c r="D920" s="28"/>
      <c r="E920" s="28"/>
      <c r="F920" s="28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 ht="15.75" customHeight="1">
      <c r="A921" s="28"/>
      <c r="B921" s="28"/>
      <c r="C921" s="28"/>
      <c r="D921" s="28"/>
      <c r="E921" s="28"/>
      <c r="F921" s="28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 ht="15.75" customHeight="1">
      <c r="A922" s="28"/>
      <c r="B922" s="28"/>
      <c r="C922" s="28"/>
      <c r="D922" s="28"/>
      <c r="E922" s="28"/>
      <c r="F922" s="28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 ht="15.75" customHeight="1">
      <c r="A923" s="28"/>
      <c r="B923" s="28"/>
      <c r="C923" s="28"/>
      <c r="D923" s="28"/>
      <c r="E923" s="28"/>
      <c r="F923" s="28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 ht="15.75" customHeight="1">
      <c r="A924" s="28"/>
      <c r="B924" s="28"/>
      <c r="C924" s="28"/>
      <c r="D924" s="28"/>
      <c r="E924" s="28"/>
      <c r="F924" s="28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 ht="15.75" customHeight="1">
      <c r="A925" s="28"/>
      <c r="B925" s="28"/>
      <c r="C925" s="28"/>
      <c r="D925" s="28"/>
      <c r="E925" s="28"/>
      <c r="F925" s="28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 ht="15.75" customHeight="1">
      <c r="A926" s="28"/>
      <c r="B926" s="28"/>
      <c r="C926" s="28"/>
      <c r="D926" s="28"/>
      <c r="E926" s="28"/>
      <c r="F926" s="28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 ht="15.75" customHeight="1">
      <c r="A927" s="28"/>
      <c r="B927" s="28"/>
      <c r="C927" s="28"/>
      <c r="D927" s="28"/>
      <c r="E927" s="28"/>
      <c r="F927" s="28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 ht="15.75" customHeight="1">
      <c r="A928" s="28"/>
      <c r="B928" s="28"/>
      <c r="C928" s="28"/>
      <c r="D928" s="28"/>
      <c r="E928" s="28"/>
      <c r="F928" s="28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 ht="15.75" customHeight="1">
      <c r="A929" s="28"/>
      <c r="B929" s="28"/>
      <c r="C929" s="28"/>
      <c r="D929" s="28"/>
      <c r="E929" s="28"/>
      <c r="F929" s="28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 ht="15.75" customHeight="1">
      <c r="A930" s="28"/>
      <c r="B930" s="28"/>
      <c r="C930" s="28"/>
      <c r="D930" s="28"/>
      <c r="E930" s="28"/>
      <c r="F930" s="28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 ht="15.75" customHeight="1">
      <c r="A931" s="28"/>
      <c r="B931" s="28"/>
      <c r="C931" s="28"/>
      <c r="D931" s="28"/>
      <c r="E931" s="28"/>
      <c r="F931" s="28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 ht="15.75" customHeight="1">
      <c r="A932" s="28"/>
      <c r="B932" s="28"/>
      <c r="C932" s="28"/>
      <c r="D932" s="28"/>
      <c r="E932" s="28"/>
      <c r="F932" s="28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 ht="15.75" customHeight="1">
      <c r="A933" s="28"/>
      <c r="B933" s="28"/>
      <c r="C933" s="28"/>
      <c r="D933" s="28"/>
      <c r="E933" s="28"/>
      <c r="F933" s="28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 ht="15.75" customHeight="1">
      <c r="A934" s="28"/>
      <c r="B934" s="28"/>
      <c r="C934" s="28"/>
      <c r="D934" s="28"/>
      <c r="E934" s="28"/>
      <c r="F934" s="28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 ht="15.75" customHeight="1">
      <c r="A935" s="28"/>
      <c r="B935" s="28"/>
      <c r="C935" s="28"/>
      <c r="D935" s="28"/>
      <c r="E935" s="28"/>
      <c r="F935" s="28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 ht="15.75" customHeight="1">
      <c r="A936" s="28"/>
      <c r="B936" s="28"/>
      <c r="C936" s="28"/>
      <c r="D936" s="28"/>
      <c r="E936" s="28"/>
      <c r="F936" s="28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 ht="15.75" customHeight="1">
      <c r="A937" s="28"/>
      <c r="B937" s="28"/>
      <c r="C937" s="28"/>
      <c r="D937" s="28"/>
      <c r="E937" s="28"/>
      <c r="F937" s="28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 ht="15.75" customHeight="1">
      <c r="A938" s="28"/>
      <c r="B938" s="28"/>
      <c r="C938" s="28"/>
      <c r="D938" s="28"/>
      <c r="E938" s="28"/>
      <c r="F938" s="28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 ht="15.75" customHeight="1">
      <c r="A939" s="28"/>
      <c r="B939" s="28"/>
      <c r="C939" s="28"/>
      <c r="D939" s="28"/>
      <c r="E939" s="28"/>
      <c r="F939" s="28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 ht="15.75" customHeight="1">
      <c r="A940" s="28"/>
      <c r="B940" s="28"/>
      <c r="C940" s="28"/>
      <c r="D940" s="28"/>
      <c r="E940" s="28"/>
      <c r="F940" s="28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 ht="15.75" customHeight="1">
      <c r="A941" s="28"/>
      <c r="B941" s="28"/>
      <c r="C941" s="28"/>
      <c r="D941" s="28"/>
      <c r="E941" s="28"/>
      <c r="F941" s="28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 ht="15.75" customHeight="1">
      <c r="A942" s="28"/>
      <c r="B942" s="28"/>
      <c r="C942" s="28"/>
      <c r="D942" s="28"/>
      <c r="E942" s="28"/>
      <c r="F942" s="28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 ht="15.75" customHeight="1">
      <c r="A943" s="28"/>
      <c r="B943" s="28"/>
      <c r="C943" s="28"/>
      <c r="D943" s="28"/>
      <c r="E943" s="28"/>
      <c r="F943" s="28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 ht="15.75" customHeight="1">
      <c r="A944" s="28"/>
      <c r="B944" s="28"/>
      <c r="C944" s="28"/>
      <c r="D944" s="28"/>
      <c r="E944" s="28"/>
      <c r="F944" s="28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 ht="15.75" customHeight="1">
      <c r="A945" s="28"/>
      <c r="B945" s="28"/>
      <c r="C945" s="28"/>
      <c r="D945" s="28"/>
      <c r="E945" s="28"/>
      <c r="F945" s="28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 ht="15.75" customHeight="1">
      <c r="A946" s="28"/>
      <c r="B946" s="28"/>
      <c r="C946" s="28"/>
      <c r="D946" s="28"/>
      <c r="E946" s="28"/>
      <c r="F946" s="28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 ht="15.75" customHeight="1">
      <c r="A947" s="28"/>
      <c r="B947" s="28"/>
      <c r="C947" s="28"/>
      <c r="D947" s="28"/>
      <c r="E947" s="28"/>
      <c r="F947" s="28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 ht="15.75" customHeight="1">
      <c r="A948" s="28"/>
      <c r="B948" s="28"/>
      <c r="C948" s="28"/>
      <c r="D948" s="28"/>
      <c r="E948" s="28"/>
      <c r="F948" s="28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 ht="15.75" customHeight="1">
      <c r="A949" s="28"/>
      <c r="B949" s="28"/>
      <c r="C949" s="28"/>
      <c r="D949" s="28"/>
      <c r="E949" s="28"/>
      <c r="F949" s="28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 ht="15.75" customHeight="1">
      <c r="A950" s="28"/>
      <c r="B950" s="28"/>
      <c r="C950" s="28"/>
      <c r="D950" s="28"/>
      <c r="E950" s="28"/>
      <c r="F950" s="28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 ht="15.75" customHeight="1">
      <c r="A951" s="28"/>
      <c r="B951" s="28"/>
      <c r="C951" s="28"/>
      <c r="D951" s="28"/>
      <c r="E951" s="28"/>
      <c r="F951" s="28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 ht="15.75" customHeight="1">
      <c r="A952" s="28"/>
      <c r="B952" s="28"/>
      <c r="C952" s="28"/>
      <c r="D952" s="28"/>
      <c r="E952" s="28"/>
      <c r="F952" s="28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 ht="15.75" customHeight="1">
      <c r="A953" s="28"/>
      <c r="B953" s="28"/>
      <c r="C953" s="28"/>
      <c r="D953" s="28"/>
      <c r="E953" s="28"/>
      <c r="F953" s="28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 ht="15.75" customHeight="1">
      <c r="A954" s="28"/>
      <c r="B954" s="28"/>
      <c r="C954" s="28"/>
      <c r="D954" s="28"/>
      <c r="E954" s="28"/>
      <c r="F954" s="28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 ht="15.75" customHeight="1">
      <c r="A955" s="28"/>
      <c r="B955" s="28"/>
      <c r="C955" s="28"/>
      <c r="D955" s="28"/>
      <c r="E955" s="28"/>
      <c r="F955" s="28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 ht="15.75" customHeight="1">
      <c r="A956" s="28"/>
      <c r="B956" s="28"/>
      <c r="C956" s="28"/>
      <c r="D956" s="28"/>
      <c r="E956" s="28"/>
      <c r="F956" s="28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 ht="15.75" customHeight="1">
      <c r="A957" s="28"/>
      <c r="B957" s="28"/>
      <c r="C957" s="28"/>
      <c r="D957" s="28"/>
      <c r="E957" s="28"/>
      <c r="F957" s="28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 ht="15.75" customHeight="1">
      <c r="A958" s="28"/>
      <c r="B958" s="28"/>
      <c r="C958" s="28"/>
      <c r="D958" s="28"/>
      <c r="E958" s="28"/>
      <c r="F958" s="28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 ht="15.75" customHeight="1">
      <c r="A959" s="28"/>
      <c r="B959" s="28"/>
      <c r="C959" s="28"/>
      <c r="D959" s="28"/>
      <c r="E959" s="28"/>
      <c r="F959" s="28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 ht="15.75" customHeight="1">
      <c r="A960" s="28"/>
      <c r="B960" s="28"/>
      <c r="C960" s="28"/>
      <c r="D960" s="28"/>
      <c r="E960" s="28"/>
      <c r="F960" s="28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 ht="15.75" customHeight="1">
      <c r="A961" s="28"/>
      <c r="B961" s="28"/>
      <c r="C961" s="28"/>
      <c r="D961" s="28"/>
      <c r="E961" s="28"/>
      <c r="F961" s="28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 ht="15.75" customHeight="1">
      <c r="A962" s="28"/>
      <c r="B962" s="28"/>
      <c r="C962" s="28"/>
      <c r="D962" s="28"/>
      <c r="E962" s="28"/>
      <c r="F962" s="28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 ht="15.75" customHeight="1">
      <c r="A963" s="28"/>
      <c r="B963" s="28"/>
      <c r="C963" s="28"/>
      <c r="D963" s="28"/>
      <c r="E963" s="28"/>
      <c r="F963" s="28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 ht="15.75" customHeight="1">
      <c r="A964" s="28"/>
      <c r="B964" s="28"/>
      <c r="C964" s="28"/>
      <c r="D964" s="28"/>
      <c r="E964" s="28"/>
      <c r="F964" s="28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 ht="15.75" customHeight="1">
      <c r="A965" s="28"/>
      <c r="B965" s="28"/>
      <c r="C965" s="28"/>
      <c r="D965" s="28"/>
      <c r="E965" s="28"/>
      <c r="F965" s="28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 ht="15.75" customHeight="1">
      <c r="A966" s="28"/>
      <c r="B966" s="28"/>
      <c r="C966" s="28"/>
      <c r="D966" s="28"/>
      <c r="E966" s="28"/>
      <c r="F966" s="28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 ht="15.75" customHeight="1">
      <c r="A967" s="28"/>
      <c r="B967" s="28"/>
      <c r="C967" s="28"/>
      <c r="D967" s="28"/>
      <c r="E967" s="28"/>
      <c r="F967" s="28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 ht="15.75" customHeight="1">
      <c r="A968" s="28"/>
      <c r="B968" s="28"/>
      <c r="C968" s="28"/>
      <c r="D968" s="28"/>
      <c r="E968" s="28"/>
      <c r="F968" s="28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 ht="15.75" customHeight="1">
      <c r="A969" s="28"/>
      <c r="B969" s="28"/>
      <c r="C969" s="28"/>
      <c r="D969" s="28"/>
      <c r="E969" s="28"/>
      <c r="F969" s="28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 ht="15.75" customHeight="1">
      <c r="A970" s="28"/>
      <c r="B970" s="28"/>
      <c r="C970" s="28"/>
      <c r="D970" s="28"/>
      <c r="E970" s="28"/>
      <c r="F970" s="28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 ht="15.75" customHeight="1">
      <c r="A971" s="28"/>
      <c r="B971" s="28"/>
      <c r="C971" s="28"/>
      <c r="D971" s="28"/>
      <c r="E971" s="28"/>
      <c r="F971" s="28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 ht="15.75" customHeight="1">
      <c r="A972" s="28"/>
      <c r="B972" s="28"/>
      <c r="C972" s="28"/>
      <c r="D972" s="28"/>
      <c r="E972" s="28"/>
      <c r="F972" s="28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 ht="15.75" customHeight="1">
      <c r="A973" s="28"/>
      <c r="B973" s="28"/>
      <c r="C973" s="28"/>
      <c r="D973" s="28"/>
      <c r="E973" s="28"/>
      <c r="F973" s="28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 ht="15.75" customHeight="1">
      <c r="A974" s="28"/>
      <c r="B974" s="28"/>
      <c r="C974" s="28"/>
      <c r="D974" s="28"/>
      <c r="E974" s="28"/>
      <c r="F974" s="28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 ht="15.75" customHeight="1">
      <c r="A975" s="28"/>
      <c r="B975" s="28"/>
      <c r="C975" s="28"/>
      <c r="D975" s="28"/>
      <c r="E975" s="28"/>
      <c r="F975" s="28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 ht="15.75" customHeight="1">
      <c r="A976" s="28"/>
      <c r="B976" s="28"/>
      <c r="C976" s="28"/>
      <c r="D976" s="28"/>
      <c r="E976" s="28"/>
      <c r="F976" s="28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 ht="15.75" customHeight="1">
      <c r="A977" s="28"/>
      <c r="B977" s="28"/>
      <c r="C977" s="28"/>
      <c r="D977" s="28"/>
      <c r="E977" s="28"/>
      <c r="F977" s="28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 ht="15.75" customHeight="1">
      <c r="A978" s="28"/>
      <c r="B978" s="28"/>
      <c r="C978" s="28"/>
      <c r="D978" s="28"/>
      <c r="E978" s="28"/>
      <c r="F978" s="28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 ht="15.75" customHeight="1">
      <c r="A979" s="28"/>
      <c r="B979" s="28"/>
      <c r="C979" s="28"/>
      <c r="D979" s="28"/>
      <c r="E979" s="28"/>
      <c r="F979" s="28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 ht="15.75" customHeight="1">
      <c r="A980" s="28"/>
      <c r="B980" s="28"/>
      <c r="C980" s="28"/>
      <c r="D980" s="28"/>
      <c r="E980" s="28"/>
      <c r="F980" s="28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 ht="15.75" customHeight="1">
      <c r="A981" s="28"/>
      <c r="B981" s="28"/>
      <c r="C981" s="28"/>
      <c r="D981" s="28"/>
      <c r="E981" s="28"/>
      <c r="F981" s="28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 ht="15.75" customHeight="1">
      <c r="A982" s="28"/>
      <c r="B982" s="28"/>
      <c r="C982" s="28"/>
      <c r="D982" s="28"/>
      <c r="E982" s="28"/>
      <c r="F982" s="28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 ht="15.75" customHeight="1">
      <c r="A983" s="28"/>
      <c r="B983" s="28"/>
      <c r="C983" s="28"/>
      <c r="D983" s="28"/>
      <c r="E983" s="28"/>
      <c r="F983" s="28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 ht="15.75" customHeight="1">
      <c r="A984" s="28"/>
      <c r="B984" s="28"/>
      <c r="C984" s="28"/>
      <c r="D984" s="28"/>
      <c r="E984" s="28"/>
      <c r="F984" s="28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 ht="15.75" customHeight="1">
      <c r="A985" s="28"/>
      <c r="B985" s="28"/>
      <c r="C985" s="28"/>
      <c r="D985" s="28"/>
      <c r="E985" s="28"/>
      <c r="F985" s="28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 ht="15.75" customHeight="1">
      <c r="A986" s="28"/>
      <c r="B986" s="28"/>
      <c r="C986" s="28"/>
      <c r="D986" s="28"/>
      <c r="E986" s="28"/>
      <c r="F986" s="28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 ht="15.75" customHeight="1">
      <c r="A987" s="28"/>
      <c r="B987" s="28"/>
      <c r="C987" s="28"/>
      <c r="D987" s="28"/>
      <c r="E987" s="28"/>
      <c r="F987" s="28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 ht="15.75" customHeight="1">
      <c r="A988" s="28"/>
      <c r="B988" s="28"/>
      <c r="C988" s="28"/>
      <c r="D988" s="28"/>
      <c r="E988" s="28"/>
      <c r="F988" s="28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 ht="15.75" customHeight="1">
      <c r="A989" s="28"/>
      <c r="B989" s="28"/>
      <c r="C989" s="28"/>
      <c r="D989" s="28"/>
      <c r="E989" s="28"/>
      <c r="F989" s="28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 ht="15.75" customHeight="1">
      <c r="A990" s="28"/>
      <c r="B990" s="28"/>
      <c r="C990" s="28"/>
      <c r="D990" s="28"/>
      <c r="E990" s="28"/>
      <c r="F990" s="28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 ht="15.75" customHeight="1">
      <c r="A991" s="28"/>
      <c r="B991" s="28"/>
      <c r="C991" s="28"/>
      <c r="D991" s="28"/>
      <c r="E991" s="28"/>
      <c r="F991" s="28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 ht="15.75" customHeight="1">
      <c r="A992" s="28"/>
      <c r="B992" s="28"/>
      <c r="C992" s="28"/>
      <c r="D992" s="28"/>
      <c r="E992" s="28"/>
      <c r="F992" s="28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 ht="15.75" customHeight="1">
      <c r="A993" s="28"/>
      <c r="B993" s="28"/>
      <c r="C993" s="28"/>
      <c r="D993" s="28"/>
      <c r="E993" s="28"/>
      <c r="F993" s="28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 ht="15.75" customHeight="1">
      <c r="A994" s="28"/>
      <c r="B994" s="28"/>
      <c r="C994" s="28"/>
      <c r="D994" s="28"/>
      <c r="E994" s="28"/>
      <c r="F994" s="28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 ht="15.75" customHeight="1">
      <c r="A995" s="28"/>
      <c r="B995" s="28"/>
      <c r="C995" s="28"/>
      <c r="D995" s="28"/>
      <c r="E995" s="28"/>
      <c r="F995" s="28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 ht="15.75" customHeight="1">
      <c r="A996" s="28"/>
      <c r="B996" s="28"/>
      <c r="C996" s="28"/>
      <c r="D996" s="28"/>
      <c r="E996" s="28"/>
      <c r="F996" s="28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 ht="15.75" customHeight="1">
      <c r="A997" s="28"/>
      <c r="B997" s="28"/>
      <c r="C997" s="28"/>
      <c r="D997" s="28"/>
      <c r="E997" s="28"/>
      <c r="F997" s="28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 ht="15.75" customHeight="1">
      <c r="A998" s="28"/>
      <c r="B998" s="28"/>
      <c r="C998" s="28"/>
      <c r="D998" s="28"/>
      <c r="E998" s="28"/>
      <c r="F998" s="28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 ht="15.75" customHeight="1">
      <c r="A999" s="28"/>
      <c r="B999" s="28"/>
      <c r="C999" s="28"/>
      <c r="D999" s="28"/>
      <c r="E999" s="28"/>
      <c r="F999" s="28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 ht="15.75" customHeight="1">
      <c r="A1000" s="28"/>
      <c r="B1000" s="28"/>
      <c r="C1000" s="28"/>
      <c r="D1000" s="28"/>
      <c r="E1000" s="28"/>
      <c r="F1000" s="28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 ht="15.75" customHeight="1">
      <c r="A1001" s="28"/>
      <c r="B1001" s="28"/>
      <c r="C1001" s="28"/>
      <c r="D1001" s="28"/>
      <c r="E1001" s="28"/>
      <c r="F1001" s="28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  <row r="1002" ht="15.75" customHeight="1">
      <c r="A1002" s="28"/>
      <c r="B1002" s="28"/>
      <c r="C1002" s="28"/>
      <c r="D1002" s="28"/>
      <c r="E1002" s="28"/>
      <c r="F1002" s="28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</row>
    <row r="1003" ht="15.75" customHeight="1">
      <c r="A1003" s="28"/>
      <c r="B1003" s="28"/>
      <c r="C1003" s="28"/>
      <c r="D1003" s="28"/>
      <c r="E1003" s="28"/>
      <c r="F1003" s="28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</row>
    <row r="1004" ht="15.75" customHeight="1">
      <c r="A1004" s="28"/>
      <c r="B1004" s="28"/>
      <c r="C1004" s="28"/>
      <c r="D1004" s="28"/>
      <c r="E1004" s="28"/>
      <c r="F1004" s="28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</row>
    <row r="1005" ht="15.75" customHeight="1">
      <c r="A1005" s="28"/>
      <c r="B1005" s="28"/>
      <c r="C1005" s="28"/>
      <c r="D1005" s="28"/>
      <c r="E1005" s="28"/>
      <c r="F1005" s="28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</row>
    <row r="1006" ht="15.75" customHeight="1">
      <c r="A1006" s="28"/>
      <c r="B1006" s="28"/>
      <c r="C1006" s="28"/>
      <c r="D1006" s="28"/>
      <c r="E1006" s="28"/>
      <c r="F1006" s="28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</row>
  </sheetData>
  <mergeCells count="1">
    <mergeCell ref="A1:G4"/>
  </mergeCells>
  <hyperlinks>
    <hyperlink r:id="rId1" ref="F8"/>
    <hyperlink r:id="rId2" ref="F9"/>
    <hyperlink r:id="rId3" ref="F10"/>
    <hyperlink r:id="rId4" ref="F11"/>
    <hyperlink r:id="rId5" ref="F12"/>
    <hyperlink r:id="rId6" ref="F13"/>
    <hyperlink r:id="rId7" ref="F14"/>
    <hyperlink r:id="rId8" ref="F15"/>
    <hyperlink r:id="rId9" ref="F16"/>
    <hyperlink r:id="rId10" ref="F17"/>
    <hyperlink r:id="rId11" ref="F18"/>
    <hyperlink r:id="rId12" ref="F19"/>
    <hyperlink r:id="rId13" ref="F20"/>
    <hyperlink r:id="rId14" ref="F21"/>
    <hyperlink r:id="rId15" ref="F22"/>
    <hyperlink r:id="rId16" ref="F23"/>
    <hyperlink r:id="rId17" ref="F24"/>
    <hyperlink r:id="rId18" ref="F25"/>
    <hyperlink r:id="rId19" ref="F26"/>
    <hyperlink r:id="rId20" ref="F27"/>
    <hyperlink r:id="rId21" ref="F29"/>
    <hyperlink r:id="rId22" ref="F30"/>
    <hyperlink r:id="rId23" ref="F31"/>
    <hyperlink r:id="rId24" ref="F32"/>
    <hyperlink r:id="rId25" ref="F35"/>
    <hyperlink r:id="rId26" ref="F36"/>
  </hyperlinks>
  <printOptions/>
  <pageMargins bottom="0.75" footer="0.0" header="0.0" left="0.7" right="0.7" top="0.75"/>
  <pageSetup orientation="landscape"/>
  <drawing r:id="rId2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2013-12-05T12:07:20Z</dcterms:created>
  <dc:creator>maluque</dc:creator>
</cp:coreProperties>
</file>